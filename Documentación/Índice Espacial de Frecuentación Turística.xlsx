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\Desktop\Universidades\Asignaturas ESPOL\Fundamentos de Planificación Turística\Herreamientas Libro\Contextualización Turística Territorial\"/>
    </mc:Choice>
  </mc:AlternateContent>
  <xr:revisionPtr revIDLastSave="0" documentId="13_ncr:1_{FF118A1F-259D-4561-9CC4-420D775DD239}" xr6:coauthVersionLast="47" xr6:coauthVersionMax="47" xr10:uidLastSave="{00000000-0000-0000-0000-000000000000}"/>
  <bookViews>
    <workbookView xWindow="-120" yWindow="-120" windowWidth="20730" windowHeight="11160" xr2:uid="{0C59B447-7122-4598-B194-070A6FCAC0C7}"/>
  </bookViews>
  <sheets>
    <sheet name="ÍEF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K13" i="2"/>
  <c r="K12" i="2"/>
  <c r="K11" i="2"/>
  <c r="K10" i="2"/>
  <c r="K9" i="2"/>
  <c r="K8" i="2"/>
  <c r="K7" i="2"/>
  <c r="K6" i="2"/>
  <c r="K15" i="2" l="1"/>
  <c r="H18" i="2" s="1"/>
</calcChain>
</file>

<file path=xl/sharedStrings.xml><?xml version="1.0" encoding="utf-8"?>
<sst xmlns="http://schemas.openxmlformats.org/spreadsheetml/2006/main" count="20" uniqueCount="13">
  <si>
    <r>
      <t xml:space="preserve">Fuente: </t>
    </r>
    <r>
      <rPr>
        <sz val="11"/>
        <color theme="1"/>
        <rFont val="Aptos Narrow"/>
        <family val="2"/>
        <scheme val="minor"/>
      </rPr>
      <t>Gunn; 1995</t>
    </r>
  </si>
  <si>
    <t>Índice Espacial de Frecuentación Turística</t>
  </si>
  <si>
    <t>Sitio/Territorio:</t>
  </si>
  <si>
    <t>Territorio</t>
  </si>
  <si>
    <t>DET</t>
  </si>
  <si>
    <t>ST</t>
  </si>
  <si>
    <t>ÍETP</t>
  </si>
  <si>
    <t>Sitio de Análisis</t>
  </si>
  <si>
    <t>ÍETPt</t>
  </si>
  <si>
    <r>
      <t>Elaborado por:</t>
    </r>
    <r>
      <rPr>
        <sz val="11"/>
        <color theme="1"/>
        <rFont val="Aptos Narrow"/>
        <family val="2"/>
        <scheme val="minor"/>
      </rPr>
      <t xml:space="preserve"> Lic. Numa Sebastián Calle Lituma, Esp. Mg. MBA. PhD. y Lic. Ronal Edison Chaca Espinoza, Mg. PhD.</t>
    </r>
  </si>
  <si>
    <t>Superficie Territorial</t>
  </si>
  <si>
    <t>Cerro las Peñas</t>
  </si>
  <si>
    <t>Malecón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</si>
</sst>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 applyProtection="1">
      <protection locked="0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 vertical="center"/>
      <protection locked="0"/>
    </xf>
    <xf numFmtId="10" fontId="2" fillId="2" borderId="8" xfId="1" applyNumberFormat="1" applyFont="1" applyFill="1" applyBorder="1" applyAlignment="1" applyProtection="1">
      <alignment horizontal="center" vertical="center"/>
    </xf>
    <xf numFmtId="0" fontId="0" fillId="2" borderId="11" xfId="0" applyFill="1" applyBorder="1" applyAlignment="1" applyProtection="1">
      <alignment horizontal="center" vertical="center"/>
      <protection locked="0"/>
    </xf>
    <xf numFmtId="10" fontId="2" fillId="2" borderId="11" xfId="1" applyNumberFormat="1" applyFont="1" applyFill="1" applyBorder="1" applyAlignment="1" applyProtection="1">
      <alignment horizontal="center" vertical="center"/>
    </xf>
    <xf numFmtId="0" fontId="0" fillId="2" borderId="15" xfId="0" applyFill="1" applyBorder="1" applyAlignment="1" applyProtection="1">
      <alignment horizontal="center" vertical="center"/>
      <protection locked="0"/>
    </xf>
    <xf numFmtId="10" fontId="2" fillId="2" borderId="15" xfId="1" applyNumberFormat="1" applyFont="1" applyFill="1" applyBorder="1" applyAlignment="1" applyProtection="1">
      <alignment horizontal="center" vertical="center"/>
    </xf>
    <xf numFmtId="10" fontId="2" fillId="4" borderId="16" xfId="0" applyNumberFormat="1" applyFont="1" applyFill="1" applyBorder="1" applyAlignment="1">
      <alignment horizontal="center" vertical="center"/>
    </xf>
    <xf numFmtId="9" fontId="0" fillId="2" borderId="0" xfId="1" applyFont="1" applyFill="1" applyProtection="1">
      <protection locked="0"/>
    </xf>
    <xf numFmtId="10" fontId="0" fillId="2" borderId="0" xfId="0" applyNumberForma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6" xfId="0" applyFill="1" applyBorder="1" applyAlignment="1" applyProtection="1">
      <alignment horizontal="lef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left" vertical="center"/>
      <protection locked="0"/>
    </xf>
    <xf numFmtId="0" fontId="0" fillId="2" borderId="10" xfId="0" applyFill="1" applyBorder="1" applyAlignment="1" applyProtection="1">
      <alignment horizontal="left" vertical="center"/>
      <protection locked="0"/>
    </xf>
    <xf numFmtId="0" fontId="0" fillId="2" borderId="13" xfId="0" applyFill="1" applyBorder="1" applyAlignment="1" applyProtection="1">
      <alignment horizontal="left" vertical="center"/>
      <protection locked="0"/>
    </xf>
    <xf numFmtId="0" fontId="0" fillId="2" borderId="14" xfId="0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right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931AFFC0-1297-4B61-ACBA-215C5C95EF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Índice Espacial de Frecuentación Turística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01600" prst="riblet"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01600" prst="riblet"/>
              </a:sp3d>
            </c:spPr>
            <c:extLst>
              <c:ext xmlns:c16="http://schemas.microsoft.com/office/drawing/2014/chart" uri="{C3380CC4-5D6E-409C-BE32-E72D297353CC}">
                <c16:uniqueId val="{00000003-A791-4A78-B2CB-F5FBC9D407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14300" prst="hardEdge"/>
              </a:sp3d>
            </c:spPr>
            <c:extLst>
              <c:ext xmlns:c16="http://schemas.microsoft.com/office/drawing/2014/chart" uri="{C3380CC4-5D6E-409C-BE32-E72D297353CC}">
                <c16:uniqueId val="{00000002-A791-4A78-B2CB-F5FBC9D407B5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01600" prst="riblet"/>
              </a:sp3d>
            </c:spPr>
            <c:extLst>
              <c:ext xmlns:c16="http://schemas.microsoft.com/office/drawing/2014/chart" uri="{C3380CC4-5D6E-409C-BE32-E72D297353CC}">
                <c16:uniqueId val="{00000001-A791-4A78-B2CB-F5FBC9D407B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791-4A78-B2CB-F5FBC9D407B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791-4A78-B2CB-F5FBC9D407B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791-4A78-B2CB-F5FBC9D407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ÍEFT!$G$17:$G$18</c:f>
              <c:strCache>
                <c:ptCount val="2"/>
                <c:pt idx="0">
                  <c:v>Superficie Territorial</c:v>
                </c:pt>
                <c:pt idx="1">
                  <c:v>Índice Espacial de Frecuentación Turística</c:v>
                </c:pt>
              </c:strCache>
            </c:strRef>
          </c:cat>
          <c:val>
            <c:numRef>
              <c:f>ÍEFT!$H$17:$H$18</c:f>
              <c:numCache>
                <c:formatCode>0.00%</c:formatCode>
                <c:ptCount val="2"/>
                <c:pt idx="0" formatCode="0%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1-4A78-B2CB-F5FBC9D4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171450</xdr:rowOff>
    </xdr:from>
    <xdr:to>
      <xdr:col>5</xdr:col>
      <xdr:colOff>504825</xdr:colOff>
      <xdr:row>24</xdr:row>
      <xdr:rowOff>61505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ontent Placeholder 1029">
              <a:extLst>
                <a:ext uri="{FF2B5EF4-FFF2-40B4-BE49-F238E27FC236}">
                  <a16:creationId xmlns:a16="http://schemas.microsoft.com/office/drawing/2014/main" id="{8C65E1F2-3412-457C-B3EB-3E914EF1EC71}"/>
                </a:ext>
              </a:extLst>
            </xdr:cNvPr>
            <xdr:cNvSpPr>
              <a:spLocks noGrp="1"/>
            </xdr:cNvSpPr>
          </xdr:nvSpPr>
          <xdr:spPr>
            <a:xfrm>
              <a:off x="0" y="952500"/>
              <a:ext cx="3657600" cy="3728630"/>
            </a:xfrm>
            <a:prstGeom prst="rect">
              <a:avLst/>
            </a:prstGeom>
          </xdr:spPr>
          <xdr:txBody>
            <a:bodyPr vert="horz" wrap="square" lIns="45720" tIns="45720" rIns="45720" bIns="45720" rtlCol="0">
              <a:normAutofit/>
            </a:bodyPr>
            <a:lstStyle>
              <a:lvl1pPr marL="91440" indent="-91440" algn="l" defTabSz="914400" rtl="0" eaLnBrk="1" latinLnBrk="0" hangingPunct="1">
                <a:lnSpc>
                  <a:spcPct val="90000"/>
                </a:lnSpc>
                <a:spcBef>
                  <a:spcPts val="1200"/>
                </a:spcBef>
                <a:spcAft>
                  <a:spcPts val="200"/>
                </a:spcAft>
                <a:buClr>
                  <a:schemeClr val="accent1"/>
                </a:buClr>
                <a:buSzPct val="100000"/>
                <a:buFont typeface="Tw Cen MT" panose="020B0602020104020603" pitchFamily="34" charset="0"/>
                <a:buChar char=" "/>
                <a:defRPr sz="2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265176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448056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594360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777240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914400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1060704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1216152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1362456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>
                <a:buNone/>
              </a:pPr>
              <a:r>
                <a:rPr lang="pt-BR" sz="2600" i="1"/>
                <a:t>Í</a:t>
              </a:r>
              <a:r>
                <a:rPr lang="pt-BR" sz="2400" i="1"/>
                <a:t>E</a:t>
              </a:r>
              <a14:m>
                <m:oMath xmlns:m="http://schemas.openxmlformats.org/officeDocument/2006/math">
                  <m:r>
                    <a:rPr lang="es-EC" sz="240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𝐹𝑇</m:t>
                  </m:r>
                  <m:r>
                    <a:rPr lang="es-EC" sz="2400" i="1" kern="12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=</m:t>
                  </m:r>
                  <m:f>
                    <m:fPr>
                      <m:ctrlPr>
                        <a:rPr lang="pt-BR" sz="2400" i="1" kern="12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C" sz="2400" i="1" kern="12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𝐷𝑒𝑡</m:t>
                      </m:r>
                    </m:num>
                    <m:den>
                      <m:r>
                        <a:rPr lang="es-EC" sz="2400" i="1" kern="12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𝑆𝑇</m:t>
                      </m:r>
                    </m:den>
                  </m:f>
                </m:oMath>
              </a14:m>
              <a:r>
                <a:rPr lang="en-US" sz="2600"/>
                <a:t> x 100</a:t>
              </a:r>
            </a:p>
            <a:p>
              <a:pPr marL="0" indent="0">
                <a:buNone/>
              </a:pPr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Dónde:</a:t>
              </a:r>
            </a:p>
            <a:p>
              <a:pPr marL="0" indent="0">
                <a:buNone/>
              </a:pPr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Det = </a:t>
              </a:r>
              <a:r>
                <a:rPr lang="en-US" sz="1000">
                  <a:latin typeface="Arial" panose="020B0604020202020204" pitchFamily="34" charset="0"/>
                  <a:cs typeface="Arial" panose="020B0604020202020204" pitchFamily="34" charset="0"/>
                </a:rPr>
                <a:t>Porción espacial con presencia</a:t>
              </a:r>
              <a:r>
                <a:rPr lang="en-US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de Recursos o Atractivos Turísticos en el territorio expresados en metros cuadrados.</a:t>
              </a:r>
              <a:endParaRPr lang="en-US" sz="100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marL="0" indent="0">
                <a:buNone/>
              </a:pPr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ST = </a:t>
              </a:r>
              <a:r>
                <a:rPr lang="en-US" sz="1000" b="0">
                  <a:latin typeface="Arial" panose="020B0604020202020204" pitchFamily="34" charset="0"/>
                  <a:cs typeface="Arial" panose="020B0604020202020204" pitchFamily="34" charset="0"/>
                </a:rPr>
                <a:t>Superficie territorial total</a:t>
              </a:r>
              <a:r>
                <a:rPr lang="en-US" sz="1000" b="0" baseline="0">
                  <a:latin typeface="Arial" panose="020B0604020202020204" pitchFamily="34" charset="0"/>
                  <a:cs typeface="Arial" panose="020B0604020202020204" pitchFamily="34" charset="0"/>
                </a:rPr>
                <a:t> expresada en metros cuadrados.</a:t>
              </a:r>
              <a:endParaRPr 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2" name="Content Placeholder 1029">
              <a:extLst>
                <a:ext uri="{FF2B5EF4-FFF2-40B4-BE49-F238E27FC236}">
                  <a16:creationId xmlns:a16="http://schemas.microsoft.com/office/drawing/2014/main" id="{8C65E1F2-3412-457C-B3EB-3E914EF1EC71}"/>
                </a:ext>
              </a:extLst>
            </xdr:cNvPr>
            <xdr:cNvSpPr>
              <a:spLocks noGrp="1"/>
            </xdr:cNvSpPr>
          </xdr:nvSpPr>
          <xdr:spPr>
            <a:xfrm>
              <a:off x="0" y="952500"/>
              <a:ext cx="3657600" cy="3728630"/>
            </a:xfrm>
            <a:prstGeom prst="rect">
              <a:avLst/>
            </a:prstGeom>
          </xdr:spPr>
          <xdr:txBody>
            <a:bodyPr vert="horz" wrap="square" lIns="45720" tIns="45720" rIns="45720" bIns="45720" rtlCol="0">
              <a:normAutofit/>
            </a:bodyPr>
            <a:lstStyle>
              <a:lvl1pPr marL="91440" indent="-91440" algn="l" defTabSz="914400" rtl="0" eaLnBrk="1" latinLnBrk="0" hangingPunct="1">
                <a:lnSpc>
                  <a:spcPct val="90000"/>
                </a:lnSpc>
                <a:spcBef>
                  <a:spcPts val="1200"/>
                </a:spcBef>
                <a:spcAft>
                  <a:spcPts val="200"/>
                </a:spcAft>
                <a:buClr>
                  <a:schemeClr val="accent1"/>
                </a:buClr>
                <a:buSzPct val="100000"/>
                <a:buFont typeface="Tw Cen MT" panose="020B0602020104020603" pitchFamily="34" charset="0"/>
                <a:buChar char=" "/>
                <a:defRPr sz="2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265176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448056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594360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777240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914400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1060704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1216152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1362456" indent="-137160" algn="l" defTabSz="914400" rtl="0" eaLnBrk="1" latinLnBrk="0" hangingPunct="1">
                <a:lnSpc>
                  <a:spcPct val="90000"/>
                </a:lnSpc>
                <a:spcBef>
                  <a:spcPts val="200"/>
                </a:spcBef>
                <a:spcAft>
                  <a:spcPts val="400"/>
                </a:spcAft>
                <a:buClr>
                  <a:schemeClr val="accent1"/>
                </a:buClr>
                <a:buFont typeface="Wingdings 3" pitchFamily="18" charset="2"/>
                <a:buChar char=""/>
                <a:defRPr sz="1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>
                <a:buNone/>
              </a:pPr>
              <a:r>
                <a:rPr lang="pt-BR" sz="2600" i="1"/>
                <a:t>Í</a:t>
              </a:r>
              <a:r>
                <a:rPr lang="pt-BR" sz="2400" i="1"/>
                <a:t>E</a:t>
              </a:r>
              <a:r>
                <a:rPr lang="es-EC" sz="240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𝐹𝑇 =𝐷𝑒𝑡</a:t>
              </a:r>
              <a:r>
                <a:rPr lang="pt-BR" sz="240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C" sz="240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𝑆𝑇</a:t>
              </a:r>
              <a:r>
                <a:rPr lang="en-US" sz="2600"/>
                <a:t> x 100</a:t>
              </a:r>
            </a:p>
            <a:p>
              <a:pPr marL="0" indent="0">
                <a:buNone/>
              </a:pPr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Dónde:</a:t>
              </a:r>
            </a:p>
            <a:p>
              <a:pPr marL="0" indent="0">
                <a:buNone/>
              </a:pPr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Det = </a:t>
              </a:r>
              <a:r>
                <a:rPr lang="en-US" sz="1000">
                  <a:latin typeface="Arial" panose="020B0604020202020204" pitchFamily="34" charset="0"/>
                  <a:cs typeface="Arial" panose="020B0604020202020204" pitchFamily="34" charset="0"/>
                </a:rPr>
                <a:t>Porción espacial con presencia</a:t>
              </a:r>
              <a:r>
                <a:rPr lang="en-US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de Recursos o Atractivos Turísticos en el territorio expresados en metros cuadrados.</a:t>
              </a:r>
              <a:endParaRPr lang="en-US" sz="100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marL="0" indent="0">
                <a:buNone/>
              </a:pPr>
              <a:r>
                <a:rPr lang="en-US" sz="1000" b="1">
                  <a:latin typeface="Arial" panose="020B0604020202020204" pitchFamily="34" charset="0"/>
                  <a:cs typeface="Arial" panose="020B0604020202020204" pitchFamily="34" charset="0"/>
                </a:rPr>
                <a:t>ST = </a:t>
              </a:r>
              <a:r>
                <a:rPr lang="en-US" sz="1000" b="0">
                  <a:latin typeface="Arial" panose="020B0604020202020204" pitchFamily="34" charset="0"/>
                  <a:cs typeface="Arial" panose="020B0604020202020204" pitchFamily="34" charset="0"/>
                </a:rPr>
                <a:t>Superficie territorial total</a:t>
              </a:r>
              <a:r>
                <a:rPr lang="en-US" sz="1000" b="0" baseline="0">
                  <a:latin typeface="Arial" panose="020B0604020202020204" pitchFamily="34" charset="0"/>
                  <a:cs typeface="Arial" panose="020B0604020202020204" pitchFamily="34" charset="0"/>
                </a:rPr>
                <a:t> expresada en metros cuadrados.</a:t>
              </a:r>
              <a:endParaRPr lang="en-US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571499</xdr:colOff>
      <xdr:row>15</xdr:row>
      <xdr:rowOff>90486</xdr:rowOff>
    </xdr:from>
    <xdr:to>
      <xdr:col>11</xdr:col>
      <xdr:colOff>19050</xdr:colOff>
      <xdr:row>34</xdr:row>
      <xdr:rowOff>76199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B2A5D1-CACB-5D86-E1A0-ECEE28273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B996-D191-43E2-85D3-AE361C13166F}">
  <dimension ref="A2:K18"/>
  <sheetViews>
    <sheetView tabSelected="1" workbookViewId="0">
      <selection activeCell="M13" sqref="M13"/>
    </sheetView>
  </sheetViews>
  <sheetFormatPr baseColWidth="10" defaultColWidth="9.140625" defaultRowHeight="15" x14ac:dyDescent="0.25"/>
  <cols>
    <col min="1" max="3" width="9.140625" style="1"/>
    <col min="4" max="4" width="10.7109375" style="1" customWidth="1"/>
    <col min="5" max="6" width="9.140625" style="1"/>
    <col min="7" max="7" width="27.7109375" style="1" customWidth="1"/>
    <col min="8" max="8" width="28.140625" style="1" customWidth="1"/>
    <col min="9" max="11" width="15.7109375" style="1" customWidth="1"/>
    <col min="12" max="16384" width="9.140625" style="1"/>
  </cols>
  <sheetData>
    <row r="2" spans="1:11" x14ac:dyDescent="0.25">
      <c r="A2" s="17" t="s">
        <v>9</v>
      </c>
      <c r="B2" s="17"/>
      <c r="C2" s="17"/>
      <c r="D2" s="17"/>
      <c r="E2" s="17"/>
      <c r="F2" s="17"/>
      <c r="G2" s="17"/>
      <c r="H2" s="17"/>
      <c r="I2" s="27" t="s">
        <v>0</v>
      </c>
      <c r="J2" s="27"/>
      <c r="K2" s="27"/>
    </row>
    <row r="3" spans="1:11" ht="15.75" thickBot="1" x14ac:dyDescent="0.3"/>
    <row r="4" spans="1:11" ht="15.75" thickBot="1" x14ac:dyDescent="0.3">
      <c r="A4" s="14" t="s">
        <v>1</v>
      </c>
      <c r="B4" s="15"/>
      <c r="C4" s="15"/>
      <c r="D4" s="16"/>
      <c r="G4" s="14" t="s">
        <v>2</v>
      </c>
      <c r="H4" s="16"/>
      <c r="I4" s="28"/>
      <c r="J4" s="29"/>
      <c r="K4" s="30"/>
    </row>
    <row r="5" spans="1:11" ht="15.75" thickBot="1" x14ac:dyDescent="0.3">
      <c r="G5" s="14" t="s">
        <v>3</v>
      </c>
      <c r="H5" s="16"/>
      <c r="I5" s="2" t="s">
        <v>4</v>
      </c>
      <c r="J5" s="3" t="s">
        <v>5</v>
      </c>
      <c r="K5" s="4" t="s">
        <v>6</v>
      </c>
    </row>
    <row r="6" spans="1:11" x14ac:dyDescent="0.25">
      <c r="G6" s="18" t="s">
        <v>12</v>
      </c>
      <c r="H6" s="19"/>
      <c r="I6" s="5"/>
      <c r="J6" s="20"/>
      <c r="K6" s="6" t="e">
        <f>I6/$J$6</f>
        <v>#DIV/0!</v>
      </c>
    </row>
    <row r="7" spans="1:11" x14ac:dyDescent="0.25">
      <c r="G7" s="23" t="s">
        <v>11</v>
      </c>
      <c r="H7" s="24"/>
      <c r="I7" s="7"/>
      <c r="J7" s="21"/>
      <c r="K7" s="8" t="e">
        <f t="shared" ref="K7:K14" si="0">I7/$J$6</f>
        <v>#DIV/0!</v>
      </c>
    </row>
    <row r="8" spans="1:11" x14ac:dyDescent="0.25">
      <c r="G8" s="23" t="s">
        <v>7</v>
      </c>
      <c r="H8" s="24"/>
      <c r="I8" s="7"/>
      <c r="J8" s="21"/>
      <c r="K8" s="8" t="e">
        <f t="shared" si="0"/>
        <v>#DIV/0!</v>
      </c>
    </row>
    <row r="9" spans="1:11" x14ac:dyDescent="0.25">
      <c r="G9" s="23" t="s">
        <v>7</v>
      </c>
      <c r="H9" s="24"/>
      <c r="I9" s="7"/>
      <c r="J9" s="21"/>
      <c r="K9" s="8" t="e">
        <f t="shared" si="0"/>
        <v>#DIV/0!</v>
      </c>
    </row>
    <row r="10" spans="1:11" x14ac:dyDescent="0.25">
      <c r="G10" s="23" t="s">
        <v>7</v>
      </c>
      <c r="H10" s="24"/>
      <c r="I10" s="7"/>
      <c r="J10" s="21"/>
      <c r="K10" s="8" t="e">
        <f t="shared" si="0"/>
        <v>#DIV/0!</v>
      </c>
    </row>
    <row r="11" spans="1:11" x14ac:dyDescent="0.25">
      <c r="G11" s="23" t="s">
        <v>7</v>
      </c>
      <c r="H11" s="24"/>
      <c r="I11" s="7"/>
      <c r="J11" s="21"/>
      <c r="K11" s="8" t="e">
        <f t="shared" si="0"/>
        <v>#DIV/0!</v>
      </c>
    </row>
    <row r="12" spans="1:11" x14ac:dyDescent="0.25">
      <c r="G12" s="23" t="s">
        <v>7</v>
      </c>
      <c r="H12" s="24"/>
      <c r="I12" s="7"/>
      <c r="J12" s="21"/>
      <c r="K12" s="8" t="e">
        <f t="shared" si="0"/>
        <v>#DIV/0!</v>
      </c>
    </row>
    <row r="13" spans="1:11" x14ac:dyDescent="0.25">
      <c r="G13" s="23" t="s">
        <v>7</v>
      </c>
      <c r="H13" s="24"/>
      <c r="I13" s="7"/>
      <c r="J13" s="21"/>
      <c r="K13" s="8" t="e">
        <f t="shared" si="0"/>
        <v>#DIV/0!</v>
      </c>
    </row>
    <row r="14" spans="1:11" ht="15.75" thickBot="1" x14ac:dyDescent="0.3">
      <c r="G14" s="25" t="s">
        <v>7</v>
      </c>
      <c r="H14" s="26"/>
      <c r="I14" s="9"/>
      <c r="J14" s="22"/>
      <c r="K14" s="10" t="e">
        <f t="shared" si="0"/>
        <v>#DIV/0!</v>
      </c>
    </row>
    <row r="15" spans="1:11" ht="15.75" thickBot="1" x14ac:dyDescent="0.3">
      <c r="G15" s="14" t="s">
        <v>8</v>
      </c>
      <c r="H15" s="15"/>
      <c r="I15" s="15"/>
      <c r="J15" s="16"/>
      <c r="K15" s="11" t="e">
        <f>SUM(K6:K14)</f>
        <v>#DIV/0!</v>
      </c>
    </row>
    <row r="17" spans="7:8" x14ac:dyDescent="0.25">
      <c r="G17" s="1" t="s">
        <v>10</v>
      </c>
      <c r="H17" s="12">
        <v>1</v>
      </c>
    </row>
    <row r="18" spans="7:8" x14ac:dyDescent="0.25">
      <c r="G18" s="1" t="s">
        <v>1</v>
      </c>
      <c r="H18" s="13" t="e">
        <f>K15</f>
        <v>#DIV/0!</v>
      </c>
    </row>
  </sheetData>
  <sheetProtection algorithmName="SHA-512" hashValue="F0cEBZZ4vOs6X68+0rDzOROQQG2EcOEQvMZO0S1WpCNbc1c2kKvILFdde7RZQ0KPmVDmwumH/y+b2aYqX9vswg==" saltValue="O7qtUFRGtGuWILg2Js3yGg==" spinCount="100000" sheet="1" objects="1" scenarios="1" selectLockedCells="1"/>
  <mergeCells count="17">
    <mergeCell ref="G5:H5"/>
    <mergeCell ref="G15:J15"/>
    <mergeCell ref="A2:H2"/>
    <mergeCell ref="G6:H6"/>
    <mergeCell ref="J6:J14"/>
    <mergeCell ref="G7:H7"/>
    <mergeCell ref="G8:H8"/>
    <mergeCell ref="G9:H9"/>
    <mergeCell ref="G10:H10"/>
    <mergeCell ref="G11:H11"/>
    <mergeCell ref="G12:H12"/>
    <mergeCell ref="G13:H13"/>
    <mergeCell ref="G14:H14"/>
    <mergeCell ref="I2:K2"/>
    <mergeCell ref="A4:D4"/>
    <mergeCell ref="G4:H4"/>
    <mergeCell ref="I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ÍEFT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 Sebastian Calle Lituma</dc:creator>
  <cp:lastModifiedBy>Numa Sebastian Calle Lituma</cp:lastModifiedBy>
  <dcterms:created xsi:type="dcterms:W3CDTF">2025-03-27T23:21:10Z</dcterms:created>
  <dcterms:modified xsi:type="dcterms:W3CDTF">2025-05-20T22:51:15Z</dcterms:modified>
</cp:coreProperties>
</file>