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JD\Desktop\Universidades\Asignaturas ESPOL\Fundamentos de Planificación Turística\Herreamientas Libro\Contextualización Turística Territorial\"/>
    </mc:Choice>
  </mc:AlternateContent>
  <xr:revisionPtr revIDLastSave="0" documentId="13_ncr:1_{25ED59F9-0A4E-412B-B625-1AD9F7EC84BC}" xr6:coauthVersionLast="47" xr6:coauthVersionMax="47" xr10:uidLastSave="{00000000-0000-0000-0000-000000000000}"/>
  <bookViews>
    <workbookView xWindow="-120" yWindow="-120" windowWidth="20730" windowHeight="11160" xr2:uid="{DC776552-B71C-45DC-8AE6-61ECADF04A62}"/>
  </bookViews>
  <sheets>
    <sheet name="PRT" sheetId="1" r:id="rId1"/>
  </sheets>
  <definedNames>
    <definedName name="_xlchart.v2.0" hidden="1">PRT!$L$10:$L$14</definedName>
    <definedName name="_xlchart.v2.1" hidden="1">PRT!$M$10:$M$14</definedName>
    <definedName name="OLE_LINK1" localSheetId="0">PRT!$L$27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7" i="1" l="1"/>
  <c r="Q39" i="1" l="1"/>
  <c r="D43" i="1"/>
  <c r="D44" i="1"/>
  <c r="D45" i="1"/>
  <c r="D46" i="1"/>
  <c r="D47" i="1"/>
  <c r="D48" i="1"/>
  <c r="D42" i="1"/>
  <c r="D40" i="1"/>
  <c r="D39" i="1"/>
  <c r="D38" i="1"/>
  <c r="D37" i="1"/>
  <c r="D36" i="1"/>
  <c r="D35" i="1"/>
  <c r="D34" i="1"/>
  <c r="D32" i="1"/>
  <c r="D29" i="1"/>
  <c r="D30" i="1"/>
  <c r="D31" i="1"/>
  <c r="D28" i="1"/>
  <c r="D26" i="1"/>
  <c r="D21" i="1"/>
  <c r="D22" i="1"/>
  <c r="D23" i="1"/>
  <c r="D24" i="1"/>
  <c r="D25" i="1"/>
  <c r="D20" i="1"/>
  <c r="D18" i="1"/>
  <c r="D19" i="1"/>
  <c r="D12" i="1"/>
  <c r="E42" i="1" l="1" a="1"/>
  <c r="E42" i="1" s="1"/>
  <c r="E34" i="1" a="1"/>
  <c r="E34" i="1" s="1"/>
  <c r="E28" i="1" a="1"/>
  <c r="E28" i="1" s="1"/>
  <c r="E18" i="1" a="1"/>
  <c r="E18" i="1" s="1"/>
  <c r="F42" i="1" l="1"/>
  <c r="P38" i="1"/>
  <c r="P37" i="1"/>
  <c r="F34" i="1"/>
  <c r="M13" i="1" s="1"/>
  <c r="F28" i="1"/>
  <c r="P36" i="1"/>
  <c r="F18" i="1"/>
  <c r="P35" i="1"/>
  <c r="D16" i="1"/>
  <c r="D15" i="1"/>
  <c r="D14" i="1"/>
  <c r="D13" i="1"/>
  <c r="D11" i="1"/>
  <c r="R35" i="1" l="1"/>
  <c r="M43" i="1"/>
  <c r="R36" i="1"/>
  <c r="M44" i="1"/>
  <c r="R37" i="1"/>
  <c r="M45" i="1"/>
  <c r="R38" i="1"/>
  <c r="M46" i="1"/>
  <c r="G42" i="1"/>
  <c r="M14" i="1"/>
  <c r="G34" i="1"/>
  <c r="G28" i="1"/>
  <c r="M12" i="1"/>
  <c r="G18" i="1"/>
  <c r="M11" i="1"/>
  <c r="E11" i="1" a="1"/>
  <c r="E11" i="1" s="1"/>
  <c r="P34" i="1" s="1"/>
  <c r="R34" i="1" l="1"/>
  <c r="R39" i="1" s="1"/>
  <c r="X41" i="1" s="1"/>
  <c r="X42" i="1" s="1"/>
  <c r="X43" i="1" s="1"/>
  <c r="AA43" i="1" s="1"/>
  <c r="M42" i="1"/>
  <c r="N42" i="1" s="1"/>
  <c r="F11" i="1"/>
  <c r="AB43" i="1" l="1"/>
  <c r="G11" i="1"/>
  <c r="M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<sst xmlns="http://schemas.openxmlformats.org/spreadsheetml/2006/main" count="165" uniqueCount="134">
  <si>
    <r>
      <t xml:space="preserve">Elaborado por: </t>
    </r>
    <r>
      <rPr>
        <sz val="11"/>
        <color theme="1"/>
        <rFont val="Aptos Narrow"/>
        <family val="2"/>
        <scheme val="minor"/>
      </rPr>
      <t>Lic. Numa Sebastián Calle Lituma, Esp. Mg. MBA. PhD. y Lic. Ronal Edison Chaca Espinoza, Mg. PhD.</t>
    </r>
  </si>
  <si>
    <r>
      <t xml:space="preserve">Fuente: </t>
    </r>
    <r>
      <rPr>
        <sz val="11"/>
        <color theme="1"/>
        <rFont val="Aptos Narrow"/>
        <family val="2"/>
        <scheme val="minor"/>
      </rPr>
      <t>Muñon 2012 &amp; Bertinni, 2019</t>
    </r>
  </si>
  <si>
    <t>Sitio/Territorio:</t>
  </si>
  <si>
    <t>Evolución del Paisaje</t>
  </si>
  <si>
    <t>Conflíctos Paisajísticos</t>
  </si>
  <si>
    <t>Cambios del Paisaje en el Tiempo</t>
  </si>
  <si>
    <t>Imagen del Territorio Pasada</t>
  </si>
  <si>
    <t>Imagen del Territorio Actual</t>
  </si>
  <si>
    <t>Imagen del Territorio Futura</t>
  </si>
  <si>
    <t>Resultado</t>
  </si>
  <si>
    <t>Valoración Cuantitativa</t>
  </si>
  <si>
    <t>Valoración Cualitativa</t>
  </si>
  <si>
    <t>Región Turística:</t>
  </si>
  <si>
    <t>Provincia:</t>
  </si>
  <si>
    <t>Recursos Paisajísticos de Interés Natural</t>
  </si>
  <si>
    <t>Recursos Paisajísticos de Interés Cultural</t>
  </si>
  <si>
    <t>Recursos Paisajísticos de Interés Visual</t>
  </si>
  <si>
    <t>Áreas Naturales Protegidas</t>
  </si>
  <si>
    <t>Áreas Naturales o Verdes</t>
  </si>
  <si>
    <t>Puntos de Observación</t>
  </si>
  <si>
    <t>Visibilidad</t>
  </si>
  <si>
    <t>Patrimonio Vernacular</t>
  </si>
  <si>
    <t>Patrimonio Religioso</t>
  </si>
  <si>
    <t>Patrimonio Arquitectónico Moderno</t>
  </si>
  <si>
    <t>Patrimonio Edificado Histórico</t>
  </si>
  <si>
    <t>Patrimonio Vivo</t>
  </si>
  <si>
    <t>Referentes Visuales Naturales</t>
  </si>
  <si>
    <t>Referentes Visuales Antrópicos</t>
  </si>
  <si>
    <t>Topografía</t>
  </si>
  <si>
    <t>Hidrografía</t>
  </si>
  <si>
    <t>Geomorfología</t>
  </si>
  <si>
    <t>Cobertura de Suelo</t>
  </si>
  <si>
    <t>Geología</t>
  </si>
  <si>
    <t>Flora Representativa</t>
  </si>
  <si>
    <t>Fauna Representativa</t>
  </si>
  <si>
    <t>Degradación del Paisaje Natural</t>
  </si>
  <si>
    <t>Degradación Antrópica del Paisaje</t>
  </si>
  <si>
    <t>Dinámicas Territoriales</t>
  </si>
  <si>
    <t>Fragmentación del Territorio</t>
  </si>
  <si>
    <t>Implantación de Infraestructura</t>
  </si>
  <si>
    <t>Implantación de Actividades Diversas</t>
  </si>
  <si>
    <t>Conurbaciones</t>
  </si>
  <si>
    <t>Singularidad</t>
  </si>
  <si>
    <t>Representatividad</t>
  </si>
  <si>
    <t>Calidad Escénica</t>
  </si>
  <si>
    <t>Principios de Conservación</t>
  </si>
  <si>
    <t>Principios de Sostenibilidad</t>
  </si>
  <si>
    <t>Región Geográfica:</t>
  </si>
  <si>
    <t>Matriz de Análisis y Valoración del Paisaje</t>
  </si>
  <si>
    <t>Positivo</t>
  </si>
  <si>
    <t>Neutro</t>
  </si>
  <si>
    <t>Negativo</t>
  </si>
  <si>
    <t>Favorable</t>
  </si>
  <si>
    <t>Regular</t>
  </si>
  <si>
    <t>Desfavorable</t>
  </si>
  <si>
    <t>Resultado Cuantitativo</t>
  </si>
  <si>
    <t>Resultado
Cuantitativo</t>
  </si>
  <si>
    <t>Resultado Cualitativo</t>
  </si>
  <si>
    <t>Promedio Categoría</t>
  </si>
  <si>
    <t>Relevante</t>
  </si>
  <si>
    <t>Promedio</t>
  </si>
  <si>
    <t>Neutra</t>
  </si>
  <si>
    <t>Conservadas</t>
  </si>
  <si>
    <t>Sin Presencia</t>
  </si>
  <si>
    <t>Descuidadas</t>
  </si>
  <si>
    <t>Irrelevante</t>
  </si>
  <si>
    <t>Adecuada</t>
  </si>
  <si>
    <t>Inadecuada</t>
  </si>
  <si>
    <t>Conservado</t>
  </si>
  <si>
    <t>Descuidado</t>
  </si>
  <si>
    <t>Identitario</t>
  </si>
  <si>
    <t>Similar</t>
  </si>
  <si>
    <t>Identitarios</t>
  </si>
  <si>
    <t>Neutros</t>
  </si>
  <si>
    <t>Similares</t>
  </si>
  <si>
    <t>Relevantes</t>
  </si>
  <si>
    <t>Importante</t>
  </si>
  <si>
    <t>Nula</t>
  </si>
  <si>
    <t>Adecuado</t>
  </si>
  <si>
    <t>Inadecuado</t>
  </si>
  <si>
    <t>Presente</t>
  </si>
  <si>
    <t>Afectado</t>
  </si>
  <si>
    <t>Controlado</t>
  </si>
  <si>
    <t>Costa del Pacífico</t>
  </si>
  <si>
    <t>Andes</t>
  </si>
  <si>
    <t>Galápagos</t>
  </si>
  <si>
    <t>Amazonía</t>
  </si>
  <si>
    <t>Región Costa o Litoral</t>
  </si>
  <si>
    <t>Región Oriental o Amazónica</t>
  </si>
  <si>
    <t>Región Sierra o Interandina</t>
  </si>
  <si>
    <t>Región Insular</t>
  </si>
  <si>
    <t>Recursos Paisajísticos de Interes Natural</t>
  </si>
  <si>
    <t>Recursos Paisajísticos de Interes Cultural</t>
  </si>
  <si>
    <t>Recursos Paisajísticos de Interes Visual</t>
  </si>
  <si>
    <t>Componentes del Paisaje como Recursos Turístico</t>
  </si>
  <si>
    <t>Valor Obtenido</t>
  </si>
  <si>
    <t>Peso Porcentual</t>
  </si>
  <si>
    <t>Total</t>
  </si>
  <si>
    <t>TOTAL</t>
  </si>
  <si>
    <t>Evolución del Paisaje (Ep)</t>
  </si>
  <si>
    <t>Recursos Paisajísticos de Interes Natural (Pn)</t>
  </si>
  <si>
    <t>Recursos Paisajísticos de Interes Cultural (Pc)</t>
  </si>
  <si>
    <t>Recursos Paisajísticos de Interes Visual (Iv)</t>
  </si>
  <si>
    <t>Conflíctos Paisajísticos (Cp)</t>
  </si>
  <si>
    <t>Ep</t>
  </si>
  <si>
    <t>Pn</t>
  </si>
  <si>
    <t>Pc</t>
  </si>
  <si>
    <t>Iv</t>
  </si>
  <si>
    <t>Cp</t>
  </si>
  <si>
    <t>Escenario</t>
  </si>
  <si>
    <t>Interpretación</t>
  </si>
  <si>
    <t>De 4 a 5</t>
  </si>
  <si>
    <t>Eficiente</t>
  </si>
  <si>
    <t>El paisaje cuenta con elementos naturales y/o culturales y de claridad visual para se disfrutado por los visitantes y su factor de unicidad permite trabajarlo como un recurso turístico territorial clave que permita su identificación, caracterización y diferenciación.</t>
  </si>
  <si>
    <t>De 3 a 4</t>
  </si>
  <si>
    <t>Proactivo</t>
  </si>
  <si>
    <t xml:space="preserve">El paisaje cuenta con elementos naturales y/o culturales atractivos pero la claridad visual para el disfrute de los mismos no es la adecuada lo que limita su capacidad de ser tomado como un recurso turístico territorial de perepción amplia. </t>
  </si>
  <si>
    <t>De 2 a 3</t>
  </si>
  <si>
    <t>El paisaje cuenta con una claridad visual importante que permite que el recurso escénico sea potencial para el desarrollo de actividades turísticas, pero los elementos naturales y/o culturales que se ubican en el sitio o sus alrededores carecen de diferenciación.</t>
  </si>
  <si>
    <t>De 1 a 2</t>
  </si>
  <si>
    <t>Reactivo</t>
  </si>
  <si>
    <t>El territorio cuenta con elementos naturales y/o culturales que pueden ser utilizados como recurso escénico, pero los mismos no son reconocidos por la localidad y no se encuentran puestos en valor; su calidad visual presenta limitaciones evidentes.</t>
  </si>
  <si>
    <t>Inferior a 1</t>
  </si>
  <si>
    <t>Inexistente</t>
  </si>
  <si>
    <t>El territorio no posee características escénicas, de ubicación e identitarias que puedan demostrar su unicidad turístico-territorial.</t>
  </si>
  <si>
    <t>Valor</t>
  </si>
  <si>
    <t>Escala</t>
  </si>
  <si>
    <t>Puntos</t>
  </si>
  <si>
    <t>X</t>
  </si>
  <si>
    <t>Y</t>
  </si>
  <si>
    <t>Inicial</t>
  </si>
  <si>
    <t>Grados</t>
  </si>
  <si>
    <t>Final</t>
  </si>
  <si>
    <t>Valor Porcentual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</si>
</sst>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b/>
      <sz val="14"/>
      <color theme="0"/>
      <name val="Aptos Narrow"/>
      <family val="2"/>
      <scheme val="minor"/>
    </font>
    <font>
      <sz val="11"/>
      <color theme="1"/>
      <name val="Aptos Narrow"/>
      <family val="2"/>
      <scheme val="minor"/>
    </font>
    <font>
      <sz val="11"/>
      <color theme="0"/>
      <name val="Aptos Narrow"/>
      <family val="2"/>
      <scheme val="minor"/>
    </font>
    <font>
      <b/>
      <sz val="12"/>
      <color theme="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theme="1" tint="0.499984740745262"/>
        <bgColor indexed="64"/>
      </patternFill>
    </fill>
    <fill>
      <patternFill patternType="solid">
        <fgColor theme="3" tint="0.499984740745262"/>
        <bgColor indexed="64"/>
      </patternFill>
    </fill>
  </fills>
  <borders count="8">
    <border>
      <left/>
      <right/>
      <top/>
      <bottom/>
      <diagonal/>
    </border>
    <border>
      <left style="dashDotDot">
        <color auto="1"/>
      </left>
      <right style="dashDotDot">
        <color auto="1"/>
      </right>
      <top style="dashDotDot">
        <color auto="1"/>
      </top>
      <bottom style="dashDotDot">
        <color auto="1"/>
      </bottom>
      <diagonal/>
    </border>
    <border>
      <left style="dashDotDot">
        <color auto="1"/>
      </left>
      <right/>
      <top style="dashDotDot">
        <color auto="1"/>
      </top>
      <bottom style="dashDotDot">
        <color auto="1"/>
      </bottom>
      <diagonal/>
    </border>
    <border>
      <left/>
      <right/>
      <top style="dashDotDot">
        <color auto="1"/>
      </top>
      <bottom style="dashDotDot">
        <color auto="1"/>
      </bottom>
      <diagonal/>
    </border>
    <border>
      <left/>
      <right style="dashDotDot">
        <color auto="1"/>
      </right>
      <top style="dashDotDot">
        <color auto="1"/>
      </top>
      <bottom style="dashDotDot">
        <color auto="1"/>
      </bottom>
      <diagonal/>
    </border>
    <border>
      <left style="dashDotDot">
        <color auto="1"/>
      </left>
      <right style="dashDotDot">
        <color auto="1"/>
      </right>
      <top style="dashDotDot">
        <color auto="1"/>
      </top>
      <bottom/>
      <diagonal/>
    </border>
    <border>
      <left style="dashDotDot">
        <color auto="1"/>
      </left>
      <right style="dashDotDot">
        <color auto="1"/>
      </right>
      <top/>
      <bottom/>
      <diagonal/>
    </border>
    <border>
      <left style="dashDotDot">
        <color auto="1"/>
      </left>
      <right style="dashDotDot">
        <color auto="1"/>
      </right>
      <top/>
      <bottom style="dashDotDot">
        <color auto="1"/>
      </bottom>
      <diagonal/>
    </border>
  </borders>
  <cellStyleXfs count="2">
    <xf numFmtId="0" fontId="0" fillId="0" borderId="0"/>
    <xf numFmtId="9" fontId="5" fillId="0" borderId="0" applyFont="0" applyFill="0" applyBorder="0" applyAlignment="0" applyProtection="0"/>
  </cellStyleXfs>
  <cellXfs count="58">
    <xf numFmtId="0" fontId="0" fillId="0" borderId="0" xfId="0"/>
    <xf numFmtId="0" fontId="0" fillId="2" borderId="0" xfId="0" applyFill="1" applyProtection="1">
      <protection locked="0"/>
    </xf>
    <xf numFmtId="0" fontId="1" fillId="5" borderId="1" xfId="0" applyFont="1" applyFill="1" applyBorder="1" applyAlignment="1" applyProtection="1">
      <alignment horizontal="center" vertical="center" wrapText="1"/>
      <protection locked="0"/>
    </xf>
    <xf numFmtId="9" fontId="0" fillId="2" borderId="0" xfId="0" applyNumberFormat="1" applyFill="1" applyProtection="1">
      <protection locked="0"/>
    </xf>
    <xf numFmtId="0" fontId="0" fillId="2" borderId="1" xfId="0" applyFill="1" applyBorder="1" applyAlignment="1" applyProtection="1">
      <alignment horizontal="center" vertical="center"/>
      <protection locked="0"/>
    </xf>
    <xf numFmtId="0" fontId="0" fillId="2" borderId="1" xfId="0" applyFill="1" applyBorder="1" applyAlignment="1" applyProtection="1">
      <alignment horizontal="center"/>
      <protection locked="0"/>
    </xf>
    <xf numFmtId="0" fontId="2" fillId="2" borderId="0" xfId="0" applyFont="1" applyFill="1" applyProtection="1">
      <protection locked="0"/>
    </xf>
    <xf numFmtId="0" fontId="2" fillId="2" borderId="0" xfId="0" applyFont="1" applyFill="1" applyAlignment="1" applyProtection="1">
      <alignment horizontal="center" vertical="center"/>
      <protection locked="0"/>
    </xf>
    <xf numFmtId="2" fontId="0" fillId="2" borderId="0" xfId="0" applyNumberFormat="1" applyFill="1" applyProtection="1">
      <protection locked="0"/>
    </xf>
    <xf numFmtId="0" fontId="0" fillId="2" borderId="0" xfId="0" applyFill="1" applyAlignment="1" applyProtection="1">
      <alignment horizontal="center" vertical="center"/>
      <protection locked="0"/>
    </xf>
    <xf numFmtId="10" fontId="0" fillId="2" borderId="0" xfId="1" applyNumberFormat="1" applyFont="1" applyFill="1" applyProtection="1">
      <protection locked="0"/>
    </xf>
    <xf numFmtId="2" fontId="7" fillId="4" borderId="1" xfId="0" applyNumberFormat="1" applyFont="1" applyFill="1" applyBorder="1" applyAlignment="1">
      <alignment horizontal="center" vertical="center"/>
    </xf>
    <xf numFmtId="0" fontId="1" fillId="3" borderId="1" xfId="0" applyFont="1" applyFill="1" applyBorder="1" applyAlignment="1">
      <alignment horizontal="center"/>
    </xf>
    <xf numFmtId="0" fontId="1" fillId="5" borderId="1" xfId="0" applyFont="1" applyFill="1" applyBorder="1" applyAlignment="1">
      <alignment vertical="center"/>
    </xf>
    <xf numFmtId="0" fontId="1" fillId="5" borderId="1" xfId="0" applyFont="1" applyFill="1" applyBorder="1" applyAlignment="1">
      <alignment horizontal="center" vertical="center" wrapText="1"/>
    </xf>
    <xf numFmtId="0" fontId="0" fillId="2" borderId="1" xfId="0" applyFill="1" applyBorder="1"/>
    <xf numFmtId="0" fontId="1" fillId="5" borderId="1" xfId="0" applyFont="1"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2" fontId="2" fillId="2" borderId="1" xfId="0" applyNumberFormat="1" applyFont="1" applyFill="1" applyBorder="1" applyAlignment="1">
      <alignment horizontal="center" vertical="center"/>
    </xf>
    <xf numFmtId="9" fontId="0" fillId="2" borderId="1" xfId="0" applyNumberFormat="1" applyFill="1" applyBorder="1" applyAlignment="1">
      <alignment horizontal="center" vertical="center"/>
    </xf>
    <xf numFmtId="2" fontId="2" fillId="2" borderId="0" xfId="0" applyNumberFormat="1" applyFont="1" applyFill="1" applyAlignment="1">
      <alignment horizontal="center" vertical="center"/>
    </xf>
    <xf numFmtId="9" fontId="7"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2" fontId="0" fillId="2" borderId="5" xfId="0" applyNumberFormat="1" applyFill="1" applyBorder="1" applyAlignment="1">
      <alignment horizontal="center" vertical="center"/>
    </xf>
    <xf numFmtId="2" fontId="0" fillId="2" borderId="6" xfId="0" applyNumberFormat="1" applyFill="1" applyBorder="1" applyAlignment="1">
      <alignment horizontal="center" vertical="center"/>
    </xf>
    <xf numFmtId="2" fontId="0" fillId="2" borderId="7" xfId="0" applyNumberFormat="1" applyFill="1" applyBorder="1" applyAlignment="1">
      <alignment horizontal="center" vertical="center"/>
    </xf>
    <xf numFmtId="0" fontId="2" fillId="2" borderId="0" xfId="0" applyFont="1" applyFill="1" applyAlignment="1">
      <alignment horizontal="left"/>
    </xf>
    <xf numFmtId="0" fontId="0" fillId="2" borderId="1" xfId="0" applyFill="1" applyBorder="1" applyAlignment="1">
      <alignment horizontal="left"/>
    </xf>
    <xf numFmtId="0" fontId="1" fillId="4" borderId="1" xfId="0" applyFont="1" applyFill="1" applyBorder="1" applyAlignment="1">
      <alignment horizontal="center" vertical="center" wrapText="1"/>
    </xf>
    <xf numFmtId="0" fontId="7" fillId="4" borderId="2" xfId="0" applyFont="1" applyFill="1" applyBorder="1" applyAlignment="1">
      <alignment horizontal="right"/>
    </xf>
    <xf numFmtId="0" fontId="7" fillId="4" borderId="3" xfId="0" applyFont="1" applyFill="1" applyBorder="1" applyAlignment="1">
      <alignment horizontal="right"/>
    </xf>
    <xf numFmtId="0" fontId="7" fillId="4" borderId="4" xfId="0" applyFont="1" applyFill="1" applyBorder="1" applyAlignment="1">
      <alignment horizontal="right"/>
    </xf>
    <xf numFmtId="0" fontId="3" fillId="2" borderId="2" xfId="0" applyFont="1" applyFill="1" applyBorder="1" applyAlignment="1" applyProtection="1">
      <alignment horizontal="center"/>
      <protection locked="0"/>
    </xf>
    <xf numFmtId="0" fontId="3" fillId="2" borderId="3" xfId="0" applyFont="1" applyFill="1" applyBorder="1" applyAlignment="1" applyProtection="1">
      <alignment horizontal="center"/>
      <protection locked="0"/>
    </xf>
    <xf numFmtId="0" fontId="3" fillId="2" borderId="4" xfId="0" applyFont="1" applyFill="1" applyBorder="1" applyAlignment="1" applyProtection="1">
      <alignment horizontal="center"/>
      <protection locked="0"/>
    </xf>
    <xf numFmtId="9" fontId="6" fillId="2" borderId="1" xfId="1" applyFont="1" applyFill="1" applyBorder="1" applyAlignment="1" applyProtection="1">
      <alignment horizontal="center" vertical="center" wrapText="1"/>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9" fontId="6" fillId="2" borderId="5" xfId="1" applyFont="1" applyFill="1" applyBorder="1" applyAlignment="1" applyProtection="1">
      <alignment horizontal="center" vertical="center" wrapText="1"/>
    </xf>
    <xf numFmtId="9" fontId="6" fillId="2" borderId="6" xfId="1" applyFont="1" applyFill="1" applyBorder="1" applyAlignment="1" applyProtection="1">
      <alignment horizontal="center" vertical="center" wrapText="1"/>
    </xf>
    <xf numFmtId="9" fontId="6" fillId="2" borderId="7" xfId="1" applyFont="1" applyFill="1" applyBorder="1" applyAlignment="1" applyProtection="1">
      <alignment horizontal="center" vertical="center" wrapText="1"/>
    </xf>
    <xf numFmtId="0" fontId="6" fillId="2" borderId="1" xfId="0" applyFont="1" applyFill="1" applyBorder="1" applyAlignment="1">
      <alignment horizontal="center" vertical="center" wrapText="1"/>
    </xf>
  </cellXfs>
  <cellStyles count="2">
    <cellStyle name="Normal" xfId="0" builtinId="0"/>
    <cellStyle name="Porcentaje" xfId="1" builtinId="5"/>
  </cellStyles>
  <dxfs count="50">
    <dxf>
      <fill>
        <patternFill>
          <bgColor theme="9" tint="-0.24994659260841701"/>
        </patternFill>
      </fill>
    </dxf>
    <dxf>
      <fill>
        <patternFill>
          <bgColor rgb="FFFFC000"/>
        </patternFill>
      </fill>
    </dxf>
    <dxf>
      <fill>
        <patternFill>
          <bgColor theme="9" tint="-0.499984740745262"/>
        </patternFill>
      </fill>
    </dxf>
    <dxf>
      <fill>
        <patternFill>
          <bgColor rgb="FFFF1D1D"/>
        </patternFill>
      </fill>
    </dxf>
    <dxf>
      <fill>
        <patternFill>
          <bgColor rgb="FFC00000"/>
        </patternFill>
      </fill>
    </dxf>
    <dxf>
      <fill>
        <patternFill>
          <bgColor theme="9" tint="-0.24994659260841701"/>
        </patternFill>
      </fill>
    </dxf>
    <dxf>
      <fill>
        <patternFill>
          <bgColor theme="9" tint="-0.499984740745262"/>
        </patternFill>
      </fill>
    </dxf>
    <dxf>
      <fill>
        <patternFill>
          <bgColor rgb="FFFFC000"/>
        </patternFill>
      </fill>
    </dxf>
    <dxf>
      <fill>
        <patternFill>
          <bgColor rgb="FFFF1D1D"/>
        </patternFill>
      </fill>
    </dxf>
    <dxf>
      <fill>
        <patternFill>
          <bgColor rgb="FFC00000"/>
        </patternFill>
      </fill>
    </dxf>
    <dxf>
      <fill>
        <patternFill>
          <bgColor theme="9" tint="-0.24994659260841701"/>
        </patternFill>
      </fill>
    </dxf>
    <dxf>
      <fill>
        <patternFill>
          <bgColor theme="9" tint="-0.499984740745262"/>
        </patternFill>
      </fill>
    </dxf>
    <dxf>
      <fill>
        <patternFill>
          <bgColor rgb="FFFFC000"/>
        </patternFill>
      </fill>
    </dxf>
    <dxf>
      <fill>
        <patternFill>
          <bgColor rgb="FFFF1D1D"/>
        </patternFill>
      </fill>
    </dxf>
    <dxf>
      <fill>
        <patternFill>
          <bgColor rgb="FFC00000"/>
        </patternFill>
      </fill>
    </dxf>
    <dxf>
      <fill>
        <patternFill>
          <bgColor rgb="FFC00000"/>
        </patternFill>
      </fill>
    </dxf>
    <dxf>
      <fill>
        <patternFill>
          <bgColor rgb="FFFF1D1D"/>
        </patternFill>
      </fill>
    </dxf>
    <dxf>
      <fill>
        <patternFill>
          <bgColor rgb="FFFFC000"/>
        </patternFill>
      </fill>
    </dxf>
    <dxf>
      <fill>
        <patternFill>
          <bgColor theme="9" tint="-0.499984740745262"/>
        </patternFill>
      </fill>
    </dxf>
    <dxf>
      <fill>
        <patternFill>
          <bgColor theme="9" tint="-0.24994659260841701"/>
        </patternFill>
      </fill>
    </dxf>
    <dxf>
      <fill>
        <patternFill>
          <bgColor rgb="FFC00000"/>
        </patternFill>
      </fill>
    </dxf>
    <dxf>
      <fill>
        <patternFill>
          <bgColor rgb="FFFF1D1D"/>
        </patternFill>
      </fill>
    </dxf>
    <dxf>
      <fill>
        <patternFill>
          <bgColor rgb="FFFFC000"/>
        </patternFill>
      </fill>
    </dxf>
    <dxf>
      <fill>
        <patternFill>
          <bgColor theme="9" tint="-0.499984740745262"/>
        </patternFill>
      </fill>
    </dxf>
    <dxf>
      <fill>
        <patternFill>
          <bgColor theme="9" tint="-0.24994659260841701"/>
        </patternFill>
      </fill>
    </dxf>
    <dxf>
      <fill>
        <patternFill>
          <bgColor rgb="FFFFC000"/>
        </patternFill>
      </fill>
    </dxf>
    <dxf>
      <fill>
        <patternFill>
          <bgColor theme="9" tint="-0.24994659260841701"/>
        </patternFill>
      </fill>
    </dxf>
    <dxf>
      <fill>
        <patternFill>
          <bgColor theme="9" tint="-0.499984740745262"/>
        </patternFill>
      </fill>
    </dxf>
    <dxf>
      <fill>
        <patternFill>
          <bgColor rgb="FFC00000"/>
        </patternFill>
      </fill>
    </dxf>
    <dxf>
      <fill>
        <patternFill>
          <bgColor rgb="FFFF1D1D"/>
        </patternFill>
      </fill>
    </dxf>
    <dxf>
      <fill>
        <patternFill>
          <bgColor rgb="FFFFC000"/>
        </patternFill>
      </fill>
    </dxf>
    <dxf>
      <fill>
        <patternFill>
          <bgColor rgb="FFFF1D1D"/>
        </patternFill>
      </fill>
    </dxf>
    <dxf>
      <fill>
        <patternFill>
          <bgColor rgb="FFC00000"/>
        </patternFill>
      </fill>
    </dxf>
    <dxf>
      <fill>
        <patternFill>
          <bgColor theme="9" tint="-0.499984740745262"/>
        </patternFill>
      </fill>
    </dxf>
    <dxf>
      <fill>
        <patternFill>
          <bgColor theme="9" tint="-0.24994659260841701"/>
        </patternFill>
      </fill>
    </dxf>
    <dxf>
      <fill>
        <patternFill>
          <bgColor rgb="FFC00000"/>
        </patternFill>
      </fill>
    </dxf>
    <dxf>
      <fill>
        <patternFill>
          <bgColor rgb="FFFF1D1D"/>
        </patternFill>
      </fill>
    </dxf>
    <dxf>
      <fill>
        <patternFill>
          <bgColor rgb="FFFFC000"/>
        </patternFill>
      </fill>
    </dxf>
    <dxf>
      <fill>
        <patternFill>
          <bgColor theme="9" tint="-0.499984740745262"/>
        </patternFill>
      </fill>
    </dxf>
    <dxf>
      <fill>
        <patternFill>
          <bgColor theme="9" tint="-0.24994659260841701"/>
        </patternFill>
      </fill>
    </dxf>
    <dxf>
      <fill>
        <patternFill>
          <bgColor theme="9" tint="-0.499984740745262"/>
        </patternFill>
      </fill>
    </dxf>
    <dxf>
      <fill>
        <patternFill>
          <bgColor rgb="FFFFC000"/>
        </patternFill>
      </fill>
    </dxf>
    <dxf>
      <fill>
        <patternFill>
          <bgColor rgb="FFFF1D1D"/>
        </patternFill>
      </fill>
    </dxf>
    <dxf>
      <fill>
        <patternFill>
          <bgColor rgb="FFC00000"/>
        </patternFill>
      </fill>
    </dxf>
    <dxf>
      <fill>
        <patternFill>
          <bgColor theme="9" tint="-0.24994659260841701"/>
        </patternFill>
      </fill>
    </dxf>
    <dxf>
      <fill>
        <patternFill>
          <bgColor rgb="FFFF1D1D"/>
        </patternFill>
      </fill>
    </dxf>
    <dxf>
      <fill>
        <patternFill>
          <bgColor theme="9" tint="-0.499984740745262"/>
        </patternFill>
      </fill>
    </dxf>
    <dxf>
      <fill>
        <patternFill>
          <bgColor theme="9" tint="-0.24994659260841701"/>
        </patternFill>
      </fill>
    </dxf>
    <dxf>
      <fill>
        <patternFill>
          <bgColor rgb="FFFFC000"/>
        </patternFill>
      </fill>
    </dxf>
    <dxf>
      <fill>
        <patternFill>
          <bgColor rgb="FFC00000"/>
        </patternFill>
      </fill>
    </dxf>
  </dxfs>
  <tableStyles count="1" defaultTableStyle="TableStyleMedium2" defaultPivotStyle="PivotStyleLight16">
    <tableStyle name="Invisible" pivot="0" table="0" count="0" xr9:uid="{AEF665C2-D71D-4C8B-84A7-98E868D09572}"/>
  </tableStyles>
  <colors>
    <mruColors>
      <color rgb="FFFF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ln>
            <a:effectLst>
              <a:glow rad="76200">
                <a:schemeClr val="accent1">
                  <a:satMod val="175000"/>
                  <a:alpha val="34000"/>
                </a:schemeClr>
              </a:glow>
            </a:effectLst>
          </c:spPr>
          <c:marker>
            <c:symbol val="none"/>
          </c:marker>
          <c:cat>
            <c:strRef>
              <c:f>PRT!$L$42:$L$46</c:f>
              <c:strCache>
                <c:ptCount val="5"/>
                <c:pt idx="0">
                  <c:v>Ep</c:v>
                </c:pt>
                <c:pt idx="1">
                  <c:v>Pn</c:v>
                </c:pt>
                <c:pt idx="2">
                  <c:v>Pc</c:v>
                </c:pt>
                <c:pt idx="3">
                  <c:v>Iv</c:v>
                </c:pt>
                <c:pt idx="4">
                  <c:v>Cp</c:v>
                </c:pt>
              </c:strCache>
            </c:strRef>
          </c:cat>
          <c:val>
            <c:numRef>
              <c:f>PRT!$M$42:$M$46</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27D9-42C9-9D73-2E4F9E1D7E91}"/>
            </c:ext>
          </c:extLst>
        </c:ser>
        <c:dLbls>
          <c:showLegendKey val="0"/>
          <c:showVal val="0"/>
          <c:showCatName val="0"/>
          <c:showSerName val="0"/>
          <c:showPercent val="0"/>
          <c:showBubbleSize val="0"/>
        </c:dLbls>
        <c:axId val="819382863"/>
        <c:axId val="819382383"/>
      </c:radarChart>
      <c:catAx>
        <c:axId val="819382863"/>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EC"/>
          </a:p>
        </c:txPr>
        <c:crossAx val="819382383"/>
        <c:crosses val="autoZero"/>
        <c:auto val="1"/>
        <c:lblAlgn val="ctr"/>
        <c:lblOffset val="100"/>
        <c:noMultiLvlLbl val="0"/>
      </c:catAx>
      <c:valAx>
        <c:axId val="819382383"/>
        <c:scaling>
          <c:orientation val="minMax"/>
        </c:scaling>
        <c:delete val="1"/>
        <c:axPos val="l"/>
        <c:majorGridlines>
          <c:spPr>
            <a:ln w="9525" cap="flat" cmpd="sng" algn="ctr">
              <a:solidFill>
                <a:schemeClr val="lt1">
                  <a:alpha val="20000"/>
                </a:schemeClr>
              </a:solidFill>
              <a:round/>
            </a:ln>
            <a:effectLst/>
          </c:spPr>
        </c:majorGridlines>
        <c:numFmt formatCode="0.00" sourceLinked="1"/>
        <c:majorTickMark val="none"/>
        <c:minorTickMark val="none"/>
        <c:tickLblPos val="nextTo"/>
        <c:crossAx val="81938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Paisaje como Recurso Turístico</a:t>
            </a:r>
          </a:p>
        </c:rich>
      </c:tx>
      <c:layout>
        <c:manualLayout>
          <c:xMode val="edge"/>
          <c:yMode val="edge"/>
          <c:x val="2.4894328013037131E-2"/>
          <c:y val="4.96656966162950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EC"/>
        </a:p>
      </c:txPr>
    </c:title>
    <c:autoTitleDeleted val="0"/>
    <c:plotArea>
      <c:layout>
        <c:manualLayout>
          <c:layoutTarget val="inner"/>
          <c:xMode val="edge"/>
          <c:yMode val="edge"/>
          <c:x val="0.34074135651576515"/>
          <c:y val="6.4254957394593512E-2"/>
          <c:w val="0.38826629041148419"/>
          <c:h val="0.93574504260540647"/>
        </c:manualLayout>
      </c:layout>
      <c:doughnutChart>
        <c:varyColors val="0"/>
        <c:ser>
          <c:idx val="1"/>
          <c:order val="0"/>
          <c:spPr>
            <a:solidFill>
              <a:schemeClr val="accent2"/>
            </a:solidFill>
            <a:ln w="19050">
              <a:solidFill>
                <a:schemeClr val="lt1"/>
              </a:solidFill>
            </a:ln>
            <a:effectLst/>
          </c:spPr>
          <c:dPt>
            <c:idx val="0"/>
            <c:bubble3D val="0"/>
            <c:spPr>
              <a:solidFill>
                <a:srgbClr val="C00000"/>
              </a:solidFill>
              <a:ln w="19050">
                <a:solidFill>
                  <a:schemeClr val="lt1"/>
                </a:solidFill>
              </a:ln>
              <a:effectLst>
                <a:outerShdw blurRad="50800" dist="38100" dir="5400000" algn="t" rotWithShape="0">
                  <a:prstClr val="black">
                    <a:alpha val="40000"/>
                  </a:prstClr>
                </a:outerShdw>
              </a:effectLst>
              <a:scene3d>
                <a:camera prst="orthographicFront"/>
                <a:lightRig rig="threePt" dir="t"/>
              </a:scene3d>
              <a:sp3d>
                <a:bevelT w="114300" prst="hardEdge"/>
              </a:sp3d>
            </c:spPr>
            <c:extLst>
              <c:ext xmlns:c16="http://schemas.microsoft.com/office/drawing/2014/chart" uri="{C3380CC4-5D6E-409C-BE32-E72D297353CC}">
                <c16:uniqueId val="{00000003-21DD-4FBE-BFDD-27120358B7BD}"/>
              </c:ext>
            </c:extLst>
          </c:dPt>
          <c:dPt>
            <c:idx val="1"/>
            <c:bubble3D val="0"/>
            <c:spPr>
              <a:solidFill>
                <a:srgbClr val="FF1D1D"/>
              </a:solidFill>
              <a:ln w="19050">
                <a:solidFill>
                  <a:schemeClr val="lt1"/>
                </a:solidFill>
              </a:ln>
              <a:effectLst>
                <a:outerShdw blurRad="50800" dist="38100" dir="5400000" algn="t" rotWithShape="0">
                  <a:prstClr val="black">
                    <a:alpha val="40000"/>
                  </a:prstClr>
                </a:outerShdw>
              </a:effectLst>
              <a:scene3d>
                <a:camera prst="orthographicFront"/>
                <a:lightRig rig="threePt" dir="t"/>
              </a:scene3d>
              <a:sp3d>
                <a:bevelT w="114300" prst="hardEdge"/>
              </a:sp3d>
            </c:spPr>
            <c:extLst>
              <c:ext xmlns:c16="http://schemas.microsoft.com/office/drawing/2014/chart" uri="{C3380CC4-5D6E-409C-BE32-E72D297353CC}">
                <c16:uniqueId val="{00000004-21DD-4FBE-BFDD-27120358B7BD}"/>
              </c:ext>
            </c:extLst>
          </c:dPt>
          <c:dPt>
            <c:idx val="2"/>
            <c:bubble3D val="0"/>
            <c:spPr>
              <a:solidFill>
                <a:srgbClr val="FFC000"/>
              </a:solidFill>
              <a:ln w="19050">
                <a:solidFill>
                  <a:schemeClr val="lt1"/>
                </a:solidFill>
              </a:ln>
              <a:effectLst>
                <a:outerShdw blurRad="50800" dist="38100" dir="5400000" algn="t" rotWithShape="0">
                  <a:prstClr val="black">
                    <a:alpha val="40000"/>
                  </a:prstClr>
                </a:outerShdw>
              </a:effectLst>
              <a:scene3d>
                <a:camera prst="orthographicFront"/>
                <a:lightRig rig="threePt" dir="t"/>
              </a:scene3d>
              <a:sp3d>
                <a:bevelT w="114300" prst="hardEdge"/>
              </a:sp3d>
            </c:spPr>
            <c:extLst>
              <c:ext xmlns:c16="http://schemas.microsoft.com/office/drawing/2014/chart" uri="{C3380CC4-5D6E-409C-BE32-E72D297353CC}">
                <c16:uniqueId val="{00000005-21DD-4FBE-BFDD-27120358B7BD}"/>
              </c:ext>
            </c:extLst>
          </c:dPt>
          <c:dPt>
            <c:idx val="3"/>
            <c:bubble3D val="0"/>
            <c:spPr>
              <a:solidFill>
                <a:schemeClr val="accent6">
                  <a:lumMod val="75000"/>
                </a:schemeClr>
              </a:solidFill>
              <a:ln w="19050">
                <a:solidFill>
                  <a:schemeClr val="lt1"/>
                </a:solidFill>
              </a:ln>
              <a:effectLst>
                <a:outerShdw blurRad="50800" dist="38100" dir="5400000" algn="t" rotWithShape="0">
                  <a:prstClr val="black">
                    <a:alpha val="40000"/>
                  </a:prstClr>
                </a:outerShdw>
              </a:effectLst>
              <a:scene3d>
                <a:camera prst="orthographicFront"/>
                <a:lightRig rig="threePt" dir="t"/>
              </a:scene3d>
              <a:sp3d>
                <a:bevelT w="114300" prst="hardEdge"/>
              </a:sp3d>
            </c:spPr>
            <c:extLst>
              <c:ext xmlns:c16="http://schemas.microsoft.com/office/drawing/2014/chart" uri="{C3380CC4-5D6E-409C-BE32-E72D297353CC}">
                <c16:uniqueId val="{00000006-21DD-4FBE-BFDD-27120358B7BD}"/>
              </c:ext>
            </c:extLst>
          </c:dPt>
          <c:dPt>
            <c:idx val="4"/>
            <c:bubble3D val="0"/>
            <c:spPr>
              <a:solidFill>
                <a:schemeClr val="accent6">
                  <a:lumMod val="50000"/>
                </a:schemeClr>
              </a:solidFill>
              <a:ln w="19050">
                <a:solidFill>
                  <a:schemeClr val="lt1"/>
                </a:solidFill>
              </a:ln>
              <a:effectLst>
                <a:outerShdw blurRad="50800" dist="38100" dir="5400000" algn="t" rotWithShape="0">
                  <a:prstClr val="black">
                    <a:alpha val="40000"/>
                  </a:prstClr>
                </a:outerShdw>
              </a:effectLst>
              <a:scene3d>
                <a:camera prst="orthographicFront"/>
                <a:lightRig rig="threePt" dir="t"/>
              </a:scene3d>
              <a:sp3d>
                <a:bevelT w="114300" prst="hardEdge"/>
              </a:sp3d>
            </c:spPr>
            <c:extLst>
              <c:ext xmlns:c16="http://schemas.microsoft.com/office/drawing/2014/chart" uri="{C3380CC4-5D6E-409C-BE32-E72D297353CC}">
                <c16:uniqueId val="{00000007-21DD-4FBE-BFDD-27120358B7BD}"/>
              </c:ext>
            </c:extLst>
          </c:dPt>
          <c:dPt>
            <c:idx val="5"/>
            <c:bubble3D val="0"/>
            <c:spPr>
              <a:noFill/>
              <a:ln w="19050">
                <a:noFill/>
              </a:ln>
              <a:effectLst/>
            </c:spPr>
            <c:extLst>
              <c:ext xmlns:c16="http://schemas.microsoft.com/office/drawing/2014/chart" uri="{C3380CC4-5D6E-409C-BE32-E72D297353CC}">
                <c16:uniqueId val="{00000002-21DD-4FBE-BFDD-27120358B7BD}"/>
              </c:ext>
            </c:extLst>
          </c:dPt>
          <c:dLbls>
            <c:dLbl>
              <c:idx val="0"/>
              <c:layout>
                <c:manualLayout>
                  <c:x val="-0.12206075602527545"/>
                  <c:y val="-9.9331393232590159E-2"/>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DD-4FBE-BFDD-27120358B7BD}"/>
                </c:ext>
              </c:extLst>
            </c:dLbl>
            <c:dLbl>
              <c:idx val="1"/>
              <c:layout>
                <c:manualLayout>
                  <c:x val="-8.8771458927473013E-2"/>
                  <c:y val="-0.18720147186141978"/>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DD-4FBE-BFDD-27120358B7BD}"/>
                </c:ext>
              </c:extLst>
            </c:dLbl>
            <c:dLbl>
              <c:idx val="2"/>
              <c:layout>
                <c:manualLayout>
                  <c:x val="-1.5852046237048753E-3"/>
                  <c:y val="-0.21776497747144749"/>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DD-4FBE-BFDD-27120358B7BD}"/>
                </c:ext>
              </c:extLst>
            </c:dLbl>
            <c:dLbl>
              <c:idx val="3"/>
              <c:layout>
                <c:manualLayout>
                  <c:x val="8.2430640432653524E-2"/>
                  <c:y val="-0.19484234826392671"/>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DD-4FBE-BFDD-27120358B7BD}"/>
                </c:ext>
              </c:extLst>
            </c:dLbl>
            <c:dLbl>
              <c:idx val="4"/>
              <c:layout>
                <c:manualLayout>
                  <c:x val="0.1220607560252754"/>
                  <c:y val="-4.9665696616295038E-2"/>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DD-4FBE-BFDD-27120358B7BD}"/>
                </c:ext>
              </c:extLst>
            </c:dLbl>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0"/>
            <c:showCatName val="1"/>
            <c:showSerName val="0"/>
            <c:showPercent val="0"/>
            <c:showBubbleSize val="0"/>
            <c:showLeaderLines val="0"/>
            <c:extLst>
              <c:ext xmlns:c15="http://schemas.microsoft.com/office/drawing/2012/chart" uri="{CE6537A1-D6FC-4f65-9D91-7224C49458BB}"/>
            </c:extLst>
          </c:dLbls>
          <c:cat>
            <c:strRef>
              <c:f>PRT!$T$42:$T$46</c:f>
              <c:strCache>
                <c:ptCount val="5"/>
                <c:pt idx="0">
                  <c:v>Inferior a 1</c:v>
                </c:pt>
                <c:pt idx="1">
                  <c:v>De 1 a 2</c:v>
                </c:pt>
                <c:pt idx="2">
                  <c:v>De 2 a 3</c:v>
                </c:pt>
                <c:pt idx="3">
                  <c:v>De 3 a 4</c:v>
                </c:pt>
                <c:pt idx="4">
                  <c:v>De 4 a 5</c:v>
                </c:pt>
              </c:strCache>
            </c:strRef>
          </c:cat>
          <c:val>
            <c:numRef>
              <c:f>PRT!$U$42:$U$47</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1-21DD-4FBE-BFDD-27120358B7BD}"/>
            </c:ext>
          </c:extLst>
        </c:ser>
        <c:dLbls>
          <c:showLegendKey val="0"/>
          <c:showVal val="0"/>
          <c:showCatName val="0"/>
          <c:showSerName val="0"/>
          <c:showPercent val="0"/>
          <c:showBubbleSize val="0"/>
          <c:showLeaderLines val="0"/>
        </c:dLbls>
        <c:firstSliceAng val="270"/>
        <c:holeSize val="20"/>
      </c:doughnutChart>
      <c:scatterChart>
        <c:scatterStyle val="smoothMarker"/>
        <c:varyColors val="0"/>
        <c:ser>
          <c:idx val="0"/>
          <c:order val="1"/>
          <c:tx>
            <c:v>puntos</c:v>
          </c:tx>
          <c:spPr>
            <a:ln w="28575" cap="rnd">
              <a:solidFill>
                <a:sysClr val="windowText" lastClr="000000"/>
              </a:solidFill>
              <a:round/>
              <a:headEnd type="oval" w="lg" len="lg"/>
              <a:tailEnd type="stealth" w="lg" len="lg"/>
            </a:ln>
            <a:effectLst>
              <a:glow rad="63500">
                <a:schemeClr val="accent1">
                  <a:satMod val="175000"/>
                  <a:alpha val="40000"/>
                </a:schemeClr>
              </a:glow>
            </a:effectLst>
          </c:spPr>
          <c:marker>
            <c:symbol val="circle"/>
            <c:size val="5"/>
            <c:spPr>
              <a:solidFill>
                <a:schemeClr val="accent6">
                  <a:lumMod val="50000"/>
                </a:schemeClr>
              </a:solidFill>
              <a:ln w="9525">
                <a:solidFill>
                  <a:sysClr val="windowText" lastClr="000000"/>
                </a:solidFill>
              </a:ln>
              <a:effectLst>
                <a:glow rad="63500">
                  <a:schemeClr val="accent1">
                    <a:satMod val="175000"/>
                    <a:alpha val="40000"/>
                  </a:schemeClr>
                </a:glow>
              </a:effectLst>
            </c:spPr>
          </c:marker>
          <c:xVal>
            <c:numRef>
              <c:f>PRT!$AA$42:$AA$43</c:f>
              <c:numCache>
                <c:formatCode>General</c:formatCode>
                <c:ptCount val="2"/>
                <c:pt idx="0">
                  <c:v>0</c:v>
                </c:pt>
                <c:pt idx="1">
                  <c:v>-1</c:v>
                </c:pt>
              </c:numCache>
            </c:numRef>
          </c:xVal>
          <c:yVal>
            <c:numRef>
              <c:f>PRT!$AB$42:$AB$43</c:f>
              <c:numCache>
                <c:formatCode>General</c:formatCode>
                <c:ptCount val="2"/>
                <c:pt idx="0">
                  <c:v>0</c:v>
                </c:pt>
                <c:pt idx="1">
                  <c:v>0</c:v>
                </c:pt>
              </c:numCache>
            </c:numRef>
          </c:yVal>
          <c:smooth val="1"/>
          <c:extLst>
            <c:ext xmlns:c16="http://schemas.microsoft.com/office/drawing/2014/chart" uri="{C3380CC4-5D6E-409C-BE32-E72D297353CC}">
              <c16:uniqueId val="{00000008-21DD-4FBE-BFDD-27120358B7BD}"/>
            </c:ext>
          </c:extLst>
        </c:ser>
        <c:dLbls>
          <c:showLegendKey val="0"/>
          <c:showVal val="0"/>
          <c:showCatName val="0"/>
          <c:showSerName val="0"/>
          <c:showPercent val="0"/>
          <c:showBubbleSize val="0"/>
        </c:dLbls>
        <c:axId val="869195711"/>
        <c:axId val="869212031"/>
      </c:scatterChart>
      <c:valAx>
        <c:axId val="869212031"/>
        <c:scaling>
          <c:orientation val="minMax"/>
          <c:max val="1"/>
          <c:min val="-1"/>
        </c:scaling>
        <c:delete val="1"/>
        <c:axPos val="l"/>
        <c:numFmt formatCode="General" sourceLinked="1"/>
        <c:majorTickMark val="out"/>
        <c:minorTickMark val="none"/>
        <c:tickLblPos val="nextTo"/>
        <c:crossAx val="869195711"/>
        <c:crosses val="autoZero"/>
        <c:crossBetween val="midCat"/>
      </c:valAx>
      <c:valAx>
        <c:axId val="869195711"/>
        <c:scaling>
          <c:orientation val="minMax"/>
          <c:max val="1"/>
          <c:min val="-1"/>
        </c:scaling>
        <c:delete val="1"/>
        <c:axPos val="b"/>
        <c:numFmt formatCode="General" sourceLinked="1"/>
        <c:majorTickMark val="out"/>
        <c:minorTickMark val="none"/>
        <c:tickLblPos val="nextTo"/>
        <c:crossAx val="869212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EC"/>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Componentes del Paisaje como Recurso Turístico</cx:v>
        </cx:txData>
      </cx:tx>
      <cx:txPr>
        <a:bodyPr spcFirstLastPara="1" vertOverflow="ellipsis" horzOverflow="overflow" wrap="square" lIns="0" tIns="0" rIns="0" bIns="0" anchor="ctr" anchorCtr="1"/>
        <a:lstStyle/>
        <a:p>
          <a:pPr algn="ctr" rtl="0">
            <a:defRPr/>
          </a:pPr>
          <a:r>
            <a:rPr lang="es-E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Componentes del Paisaje como Recurso Turístico</a:t>
          </a:r>
        </a:p>
      </cx:txPr>
    </cx:title>
    <cx:plotArea>
      <cx:plotAreaRegion>
        <cx:series layoutId="funnel" uniqueId="{0CDA0F9A-EE53-4317-BC93-B74E9422AF7B}" formatIdx="0">
          <cx:spPr>
            <a:effectLst>
              <a:glow rad="139700">
                <a:schemeClr val="accent1">
                  <a:satMod val="175000"/>
                  <a:alpha val="40000"/>
                </a:schemeClr>
              </a:glow>
            </a:effectLst>
          </cx:spPr>
          <cx:dataLabels>
            <cx:txPr>
              <a:bodyPr spcFirstLastPara="1" vertOverflow="ellipsis" horzOverflow="overflow" wrap="square" lIns="0" tIns="0" rIns="0" bIns="0" anchor="ctr" anchorCtr="1"/>
              <a:lstStyle/>
              <a:p>
                <a:pPr algn="ctr" rtl="0">
                  <a:defRPr sz="1100" b="1"/>
                </a:pPr>
                <a:endParaRPr lang="es-ES" sz="1100" b="1" i="0" u="none" strike="noStrike" baseline="0">
                  <a:solidFill>
                    <a:sysClr val="window" lastClr="FFFFFF">
                      <a:lumMod val="95000"/>
                    </a:sysClr>
                  </a:solidFill>
                  <a:latin typeface="Aptos Narrow" panose="02110004020202020204"/>
                </a:endParaRPr>
              </a:p>
            </cx:txPr>
          </cx:dataLabels>
          <cx:dataId val="0"/>
        </cx:series>
      </cx:plotAreaRegion>
      <cx:axis id="0">
        <cx:catScaling gapWidth="0.75"/>
        <cx:tickLabels/>
        <cx:txPr>
          <a:bodyPr spcFirstLastPara="1" vertOverflow="ellipsis" horzOverflow="overflow" wrap="square" lIns="0" tIns="0" rIns="0" bIns="0" anchor="ctr" anchorCtr="1"/>
          <a:lstStyle/>
          <a:p>
            <a:pPr algn="ctr" rtl="0">
              <a:defRPr sz="800" b="1"/>
            </a:pPr>
            <a:endParaRPr lang="es-ES" sz="800" b="1" i="0" u="none" strike="noStrike" baseline="0">
              <a:solidFill>
                <a:sysClr val="window" lastClr="FFFFFF">
                  <a:lumMod val="9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214312</xdr:colOff>
      <xdr:row>8</xdr:row>
      <xdr:rowOff>15473</xdr:rowOff>
    </xdr:from>
    <xdr:to>
      <xdr:col>20</xdr:col>
      <xdr:colOff>523875</xdr:colOff>
      <xdr:row>26</xdr:row>
      <xdr:rowOff>338665</xdr:rowOff>
    </xdr:to>
    <mc:AlternateContent xmlns:mc="http://schemas.openxmlformats.org/markup-compatibility/2006">
      <mc:Choice xmlns:cx2="http://schemas.microsoft.com/office/drawing/2015/10/21/chartex" Requires="cx2">
        <xdr:graphicFrame macro="">
          <xdr:nvGraphicFramePr>
            <xdr:cNvPr id="4" name="Gráfico 3">
              <a:extLst>
                <a:ext uri="{FF2B5EF4-FFF2-40B4-BE49-F238E27FC236}">
                  <a16:creationId xmlns:a16="http://schemas.microsoft.com/office/drawing/2014/main" id="{A6A1B3CB-0ECE-1E03-1B80-60BA9A16CE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91412" y="1539473"/>
              <a:ext cx="7929563" cy="4180817"/>
            </a:xfrm>
            <a:prstGeom prst="rect">
              <a:avLst/>
            </a:prstGeom>
            <a:solidFill>
              <a:prstClr val="white"/>
            </a:solidFill>
            <a:ln w="1">
              <a:solidFill>
                <a:prstClr val="green"/>
              </a:solidFill>
            </a:ln>
          </xdr:spPr>
          <xdr:txBody>
            <a:bodyPr vertOverflow="clip" horzOverflow="clip"/>
            <a:lstStyle/>
            <a:p>
              <a:r>
                <a:rPr lang="es-EC"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7</xdr:col>
      <xdr:colOff>264584</xdr:colOff>
      <xdr:row>28</xdr:row>
      <xdr:rowOff>116416</xdr:rowOff>
    </xdr:from>
    <xdr:to>
      <xdr:col>23</xdr:col>
      <xdr:colOff>354542</xdr:colOff>
      <xdr:row>30</xdr:row>
      <xdr:rowOff>59266</xdr:rowOff>
    </xdr:to>
    <xdr:pic>
      <xdr:nvPicPr>
        <xdr:cNvPr id="14" name="Imagen 13">
          <a:extLst>
            <a:ext uri="{FF2B5EF4-FFF2-40B4-BE49-F238E27FC236}">
              <a16:creationId xmlns:a16="http://schemas.microsoft.com/office/drawing/2014/main" id="{34BD7BD0-BF31-A540-8D98-3915CEE59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5917" y="6074833"/>
          <a:ext cx="932920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730251</xdr:colOff>
      <xdr:row>39</xdr:row>
      <xdr:rowOff>178857</xdr:rowOff>
    </xdr:from>
    <xdr:to>
      <xdr:col>18</xdr:col>
      <xdr:colOff>285751</xdr:colOff>
      <xdr:row>56</xdr:row>
      <xdr:rowOff>42333</xdr:rowOff>
    </xdr:to>
    <xdr:graphicFrame macro="">
      <xdr:nvGraphicFramePr>
        <xdr:cNvPr id="15" name="Gráfico 14">
          <a:extLst>
            <a:ext uri="{FF2B5EF4-FFF2-40B4-BE49-F238E27FC236}">
              <a16:creationId xmlns:a16="http://schemas.microsoft.com/office/drawing/2014/main" id="{AAE19DA1-E14E-3F88-DD5C-FA3DEC937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201084</xdr:colOff>
      <xdr:row>58</xdr:row>
      <xdr:rowOff>148166</xdr:rowOff>
    </xdr:from>
    <xdr:to>
      <xdr:col>26</xdr:col>
      <xdr:colOff>973668</xdr:colOff>
      <xdr:row>60</xdr:row>
      <xdr:rowOff>167216</xdr:rowOff>
    </xdr:to>
    <xdr:sp macro="" textlink="$R$39">
      <xdr:nvSpPr>
        <xdr:cNvPr id="17" name="TextBox 3">
          <a:extLst>
            <a:ext uri="{FF2B5EF4-FFF2-40B4-BE49-F238E27FC236}">
              <a16:creationId xmlns:a16="http://schemas.microsoft.com/office/drawing/2014/main" id="{7144DFF6-2279-4931-AB25-6B19B2392137}"/>
            </a:ext>
          </a:extLst>
        </xdr:cNvPr>
        <xdr:cNvSpPr txBox="1"/>
      </xdr:nvSpPr>
      <xdr:spPr>
        <a:xfrm>
          <a:off x="18965334" y="12213166"/>
          <a:ext cx="772584"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C8EE91-E013-411F-9CC6-2E37878CEC17}" type="TxLink">
            <a:rPr lang="en-US" sz="1800" b="1" i="0" u="none" strike="noStrike">
              <a:solidFill>
                <a:schemeClr val="tx1"/>
              </a:solidFill>
              <a:latin typeface="Aptos Narrow"/>
              <a:cs typeface="Calibri"/>
            </a:rPr>
            <a:pPr algn="ctr"/>
            <a:t>0.00</a:t>
          </a:fld>
          <a:endParaRPr lang="en-US" sz="1800">
            <a:solidFill>
              <a:schemeClr val="tx1"/>
            </a:solidFill>
            <a:latin typeface="Franklin Gothic Medium" panose="020B0603020102020204" pitchFamily="34" charset="0"/>
          </a:endParaRPr>
        </a:p>
      </xdr:txBody>
    </xdr:sp>
    <xdr:clientData/>
  </xdr:twoCellAnchor>
  <xdr:twoCellAnchor>
    <xdr:from>
      <xdr:col>18</xdr:col>
      <xdr:colOff>751416</xdr:colOff>
      <xdr:row>39</xdr:row>
      <xdr:rowOff>136524</xdr:rowOff>
    </xdr:from>
    <xdr:to>
      <xdr:col>29</xdr:col>
      <xdr:colOff>613833</xdr:colOff>
      <xdr:row>56</xdr:row>
      <xdr:rowOff>31750</xdr:rowOff>
    </xdr:to>
    <xdr:graphicFrame macro="">
      <xdr:nvGraphicFramePr>
        <xdr:cNvPr id="20" name="Gráfico 19">
          <a:extLst>
            <a:ext uri="{FF2B5EF4-FFF2-40B4-BE49-F238E27FC236}">
              <a16:creationId xmlns:a16="http://schemas.microsoft.com/office/drawing/2014/main" id="{44BF7871-E488-0385-B139-4E45F7069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52917</xdr:colOff>
      <xdr:row>49</xdr:row>
      <xdr:rowOff>31750</xdr:rowOff>
    </xdr:from>
    <xdr:to>
      <xdr:col>26</xdr:col>
      <xdr:colOff>137583</xdr:colOff>
      <xdr:row>51</xdr:row>
      <xdr:rowOff>52917</xdr:rowOff>
    </xdr:to>
    <xdr:sp macro="" textlink="$R$39">
      <xdr:nvSpPr>
        <xdr:cNvPr id="21" name="CuadroTexto 20">
          <a:extLst>
            <a:ext uri="{FF2B5EF4-FFF2-40B4-BE49-F238E27FC236}">
              <a16:creationId xmlns:a16="http://schemas.microsoft.com/office/drawing/2014/main" id="{3DB366ED-0886-F944-BDDD-E2C5763B2365}"/>
            </a:ext>
          </a:extLst>
        </xdr:cNvPr>
        <xdr:cNvSpPr txBox="1"/>
      </xdr:nvSpPr>
      <xdr:spPr>
        <a:xfrm>
          <a:off x="17928167" y="10382250"/>
          <a:ext cx="973666" cy="40216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E15A6992-DF03-4B8A-878B-93E80B681031}" type="TxLink">
            <a:rPr lang="en-US" sz="2400" b="1" i="0" u="none" strike="noStrike">
              <a:solidFill>
                <a:schemeClr val="tx1"/>
              </a:solidFill>
              <a:latin typeface="Aptos Narrow"/>
            </a:rPr>
            <a:pPr algn="ctr"/>
            <a:t>0.00</a:t>
          </a:fld>
          <a:endParaRPr lang="es-EC" sz="2400">
            <a:solidFill>
              <a:schemeClr val="tx1"/>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5249-6365-42D5-8124-8F37F00C7309}">
  <dimension ref="B2:AF48"/>
  <sheetViews>
    <sheetView tabSelected="1" topLeftCell="A9" zoomScale="110" zoomScaleNormal="110" workbookViewId="0">
      <selection activeCell="C18" sqref="C18:C24"/>
    </sheetView>
  </sheetViews>
  <sheetFormatPr baseColWidth="10" defaultRowHeight="15" x14ac:dyDescent="0.25"/>
  <cols>
    <col min="1" max="1" width="4.42578125" style="1" customWidth="1"/>
    <col min="2" max="2" width="37.42578125" style="1" customWidth="1"/>
    <col min="3" max="3" width="13.5703125" style="1" customWidth="1"/>
    <col min="4" max="4" width="12.28515625" style="1" bestFit="1" customWidth="1"/>
    <col min="5" max="5" width="12.28515625" style="1" customWidth="1"/>
    <col min="6" max="6" width="13.5703125" style="1" customWidth="1"/>
    <col min="7" max="7" width="15.5703125" style="1" customWidth="1"/>
    <col min="8" max="8" width="11.42578125" style="1"/>
    <col min="9" max="9" width="0" style="1" hidden="1" customWidth="1"/>
    <col min="10" max="10" width="5" style="1" hidden="1" customWidth="1"/>
    <col min="11" max="11" width="0" style="1" hidden="1" customWidth="1"/>
    <col min="12" max="20" width="11.42578125" style="1"/>
    <col min="21" max="21" width="8.140625" style="1" customWidth="1"/>
    <col min="22" max="22" width="6.140625" style="1" customWidth="1"/>
    <col min="23" max="23" width="10" style="1" customWidth="1"/>
    <col min="24" max="24" width="12.85546875" style="1" customWidth="1"/>
    <col min="25" max="25" width="7.42578125" style="1" customWidth="1"/>
    <col min="26" max="26" width="13.28515625" style="1" customWidth="1"/>
    <col min="27" max="27" width="17.28515625" style="1" customWidth="1"/>
    <col min="28" max="28" width="12.7109375" style="1" customWidth="1"/>
    <col min="29" max="29" width="11.42578125" style="1"/>
    <col min="30" max="30" width="37.140625" style="1" customWidth="1"/>
    <col min="31" max="31" width="46.85546875" style="1" customWidth="1"/>
    <col min="32" max="32" width="43.28515625" style="1" customWidth="1"/>
    <col min="33" max="16384" width="11.42578125" style="1"/>
  </cols>
  <sheetData>
    <row r="2" spans="2:14" x14ac:dyDescent="0.25">
      <c r="B2" s="38" t="s">
        <v>0</v>
      </c>
      <c r="C2" s="38"/>
      <c r="D2" s="38"/>
      <c r="E2" s="38"/>
      <c r="F2" s="38"/>
      <c r="G2" s="38"/>
      <c r="H2" s="38"/>
      <c r="I2" s="38"/>
      <c r="L2" s="38" t="s">
        <v>1</v>
      </c>
      <c r="M2" s="38"/>
      <c r="N2" s="38"/>
    </row>
    <row r="4" spans="2:14" x14ac:dyDescent="0.25">
      <c r="B4" s="12" t="s">
        <v>47</v>
      </c>
      <c r="C4" s="44"/>
      <c r="D4" s="45"/>
      <c r="E4" s="45"/>
      <c r="F4" s="45"/>
      <c r="G4" s="45"/>
      <c r="H4" s="45"/>
      <c r="I4" s="46"/>
    </row>
    <row r="5" spans="2:14" x14ac:dyDescent="0.25">
      <c r="B5" s="12" t="s">
        <v>12</v>
      </c>
      <c r="C5" s="44"/>
      <c r="D5" s="45"/>
      <c r="E5" s="45"/>
      <c r="F5" s="45"/>
      <c r="G5" s="45"/>
      <c r="H5" s="45"/>
      <c r="I5" s="46"/>
    </row>
    <row r="6" spans="2:14" x14ac:dyDescent="0.25">
      <c r="B6" s="12" t="s">
        <v>13</v>
      </c>
      <c r="C6" s="44"/>
      <c r="D6" s="45"/>
      <c r="E6" s="45"/>
      <c r="F6" s="45"/>
      <c r="G6" s="45"/>
      <c r="H6" s="45"/>
      <c r="I6" s="46"/>
    </row>
    <row r="7" spans="2:14" x14ac:dyDescent="0.25">
      <c r="B7" s="12" t="s">
        <v>2</v>
      </c>
      <c r="C7" s="44"/>
      <c r="D7" s="45"/>
      <c r="E7" s="45"/>
      <c r="F7" s="45"/>
      <c r="G7" s="45"/>
      <c r="H7" s="45"/>
      <c r="I7" s="46"/>
    </row>
    <row r="9" spans="2:14" ht="18.75" x14ac:dyDescent="0.25">
      <c r="B9" s="48" t="s">
        <v>48</v>
      </c>
      <c r="C9" s="49"/>
      <c r="D9" s="49"/>
      <c r="E9" s="49"/>
      <c r="F9" s="49"/>
      <c r="G9" s="50"/>
    </row>
    <row r="10" spans="2:14" ht="30" x14ac:dyDescent="0.25">
      <c r="B10" s="13" t="s">
        <v>3</v>
      </c>
      <c r="C10" s="14" t="s">
        <v>11</v>
      </c>
      <c r="D10" s="14" t="s">
        <v>10</v>
      </c>
      <c r="E10" s="14" t="s">
        <v>58</v>
      </c>
      <c r="F10" s="14" t="s">
        <v>56</v>
      </c>
      <c r="G10" s="14" t="s">
        <v>57</v>
      </c>
      <c r="L10" s="1" t="s">
        <v>3</v>
      </c>
      <c r="M10" s="3">
        <f>F11</f>
        <v>0</v>
      </c>
    </row>
    <row r="11" spans="2:14" x14ac:dyDescent="0.25">
      <c r="B11" s="15" t="s">
        <v>5</v>
      </c>
      <c r="C11" s="4"/>
      <c r="D11" s="18" t="b">
        <f>IF(C11="Positivo","5",IF(C11="Neutro","3",IF(C11="Negativo","0")))</f>
        <v>0</v>
      </c>
      <c r="E11" s="35" cm="1">
        <f t="array" ref="E11">SUM((D11:D16)/6)</f>
        <v>0</v>
      </c>
      <c r="F11" s="47">
        <f>(E11/5)</f>
        <v>0</v>
      </c>
      <c r="G11" s="57" t="str">
        <f>IF(F11&gt;=80%,"Alto",IF(F11&gt;=60%,"Medianamente Alto",IF(F11&gt;=40%,"Medio",IF(F11&gt;=20%,"Medianamente Bajo","Bajo"))))</f>
        <v>Bajo</v>
      </c>
      <c r="I11" s="1" t="s">
        <v>49</v>
      </c>
      <c r="K11" s="1" t="s">
        <v>52</v>
      </c>
      <c r="L11" s="1" t="s">
        <v>91</v>
      </c>
      <c r="M11" s="3">
        <f>F18</f>
        <v>0</v>
      </c>
    </row>
    <row r="12" spans="2:14" x14ac:dyDescent="0.25">
      <c r="B12" s="15" t="s">
        <v>6</v>
      </c>
      <c r="C12" s="4"/>
      <c r="D12" s="18" t="b">
        <f t="shared" ref="D12:D14" si="0">IF(C12="Positivo","5",IF(C12="Neutro","3",IF(C12="Negativo","0")))</f>
        <v>0</v>
      </c>
      <c r="E12" s="36"/>
      <c r="F12" s="47"/>
      <c r="G12" s="57"/>
      <c r="I12" s="1" t="s">
        <v>50</v>
      </c>
      <c r="K12" s="1" t="s">
        <v>53</v>
      </c>
      <c r="L12" s="1" t="s">
        <v>92</v>
      </c>
      <c r="M12" s="3">
        <f>F28</f>
        <v>0</v>
      </c>
    </row>
    <row r="13" spans="2:14" x14ac:dyDescent="0.25">
      <c r="B13" s="15" t="s">
        <v>7</v>
      </c>
      <c r="C13" s="4"/>
      <c r="D13" s="18" t="b">
        <f t="shared" si="0"/>
        <v>0</v>
      </c>
      <c r="E13" s="36"/>
      <c r="F13" s="47"/>
      <c r="G13" s="57"/>
      <c r="I13" s="1" t="s">
        <v>51</v>
      </c>
      <c r="K13" s="1" t="s">
        <v>54</v>
      </c>
      <c r="L13" s="1" t="s">
        <v>93</v>
      </c>
      <c r="M13" s="3">
        <f>F34</f>
        <v>0</v>
      </c>
    </row>
    <row r="14" spans="2:14" x14ac:dyDescent="0.25">
      <c r="B14" s="15" t="s">
        <v>8</v>
      </c>
      <c r="C14" s="4"/>
      <c r="D14" s="18" t="b">
        <f t="shared" si="0"/>
        <v>0</v>
      </c>
      <c r="E14" s="36"/>
      <c r="F14" s="47"/>
      <c r="G14" s="57"/>
      <c r="L14" s="1" t="s">
        <v>4</v>
      </c>
      <c r="M14" s="3">
        <f>F42</f>
        <v>0</v>
      </c>
    </row>
    <row r="15" spans="2:14" x14ac:dyDescent="0.25">
      <c r="B15" s="15" t="s">
        <v>45</v>
      </c>
      <c r="C15" s="4"/>
      <c r="D15" s="18" t="b">
        <f>IF(C15="Favorable","5",IF(C15="Regular","3",IF(C15="Desfavorable","0")))</f>
        <v>0</v>
      </c>
      <c r="E15" s="36"/>
      <c r="F15" s="47"/>
      <c r="G15" s="57"/>
    </row>
    <row r="16" spans="2:14" x14ac:dyDescent="0.25">
      <c r="B16" s="15" t="s">
        <v>46</v>
      </c>
      <c r="C16" s="4"/>
      <c r="D16" s="18" t="b">
        <f>IF(C16="Favorable","5",IF(C16="Regular","3",IF(C16="Desfavorable","0")))</f>
        <v>0</v>
      </c>
      <c r="E16" s="37"/>
      <c r="F16" s="47"/>
      <c r="G16" s="57"/>
    </row>
    <row r="17" spans="2:11" ht="30" x14ac:dyDescent="0.25">
      <c r="B17" s="16" t="s">
        <v>14</v>
      </c>
      <c r="C17" s="2" t="s">
        <v>11</v>
      </c>
      <c r="D17" s="14" t="s">
        <v>10</v>
      </c>
      <c r="E17" s="14" t="s">
        <v>58</v>
      </c>
      <c r="F17" s="14" t="s">
        <v>55</v>
      </c>
      <c r="G17" s="14" t="s">
        <v>57</v>
      </c>
    </row>
    <row r="18" spans="2:11" x14ac:dyDescent="0.25">
      <c r="B18" s="17" t="s">
        <v>18</v>
      </c>
      <c r="C18" s="4"/>
      <c r="D18" s="18" t="b">
        <f>IF(C18="Conservadas","5",IF(C18="Descuidadas","3",IF(C18="Sin Presencia","0")))</f>
        <v>0</v>
      </c>
      <c r="E18" s="35" cm="1">
        <f t="array" ref="E18">SUM((D18:D26)/9)</f>
        <v>0</v>
      </c>
      <c r="F18" s="54">
        <f>(E18/5)</f>
        <v>0</v>
      </c>
      <c r="G18" s="51" t="str">
        <f>IF(F18&gt;=80%,"Alto",IF(F18&gt;=60%,"Medianamente Alto",IF(F18&gt;=40%,"Medio",IF(F18&gt;=20%,"Medianamente Bajo","Bajo"))))</f>
        <v>Bajo</v>
      </c>
      <c r="I18" s="1" t="s">
        <v>65</v>
      </c>
      <c r="K18" s="1" t="s">
        <v>62</v>
      </c>
    </row>
    <row r="19" spans="2:11" x14ac:dyDescent="0.25">
      <c r="B19" s="17" t="s">
        <v>17</v>
      </c>
      <c r="C19" s="4"/>
      <c r="D19" s="18" t="b">
        <f>IF(C19="Conservadas","5",IF(C19="Descuidadas","3",IF(C19="Sin Presencia","0")))</f>
        <v>0</v>
      </c>
      <c r="E19" s="36"/>
      <c r="F19" s="55"/>
      <c r="G19" s="52"/>
      <c r="I19" s="1" t="s">
        <v>61</v>
      </c>
      <c r="K19" s="1" t="s">
        <v>64</v>
      </c>
    </row>
    <row r="20" spans="2:11" x14ac:dyDescent="0.25">
      <c r="B20" s="17" t="s">
        <v>30</v>
      </c>
      <c r="C20" s="4"/>
      <c r="D20" s="18" t="b">
        <f>IF(C20="Relevante","5",IF(C20="Neutra","3",IF(C20="Irrelevante","0")))</f>
        <v>0</v>
      </c>
      <c r="E20" s="36"/>
      <c r="F20" s="55"/>
      <c r="G20" s="52"/>
      <c r="I20" s="1" t="s">
        <v>59</v>
      </c>
      <c r="K20" s="1" t="s">
        <v>63</v>
      </c>
    </row>
    <row r="21" spans="2:11" x14ac:dyDescent="0.25">
      <c r="B21" s="17" t="s">
        <v>28</v>
      </c>
      <c r="C21" s="4"/>
      <c r="D21" s="18" t="b">
        <f t="shared" ref="D21:D25" si="1">IF(C21="Relevante","5",IF(C21="Neutra","3",IF(C21="Irrelevante","0")))</f>
        <v>0</v>
      </c>
      <c r="E21" s="36"/>
      <c r="F21" s="55"/>
      <c r="G21" s="52"/>
    </row>
    <row r="22" spans="2:11" x14ac:dyDescent="0.25">
      <c r="B22" s="17" t="s">
        <v>29</v>
      </c>
      <c r="C22" s="4"/>
      <c r="D22" s="18" t="b">
        <f t="shared" si="1"/>
        <v>0</v>
      </c>
      <c r="E22" s="36"/>
      <c r="F22" s="55"/>
      <c r="G22" s="52"/>
      <c r="I22" s="1" t="s">
        <v>66</v>
      </c>
      <c r="K22" s="1" t="s">
        <v>83</v>
      </c>
    </row>
    <row r="23" spans="2:11" x14ac:dyDescent="0.25">
      <c r="B23" s="17" t="s">
        <v>32</v>
      </c>
      <c r="C23" s="4"/>
      <c r="D23" s="18" t="b">
        <f t="shared" si="1"/>
        <v>0</v>
      </c>
      <c r="E23" s="36"/>
      <c r="F23" s="55"/>
      <c r="G23" s="52"/>
      <c r="I23" s="1" t="s">
        <v>60</v>
      </c>
      <c r="K23" s="1" t="s">
        <v>84</v>
      </c>
    </row>
    <row r="24" spans="2:11" x14ac:dyDescent="0.25">
      <c r="B24" s="17" t="s">
        <v>33</v>
      </c>
      <c r="C24" s="4"/>
      <c r="D24" s="18" t="b">
        <f t="shared" si="1"/>
        <v>0</v>
      </c>
      <c r="E24" s="36"/>
      <c r="F24" s="55"/>
      <c r="G24" s="52"/>
      <c r="I24" s="1" t="s">
        <v>67</v>
      </c>
      <c r="K24" s="1" t="s">
        <v>85</v>
      </c>
    </row>
    <row r="25" spans="2:11" x14ac:dyDescent="0.25">
      <c r="B25" s="17" t="s">
        <v>34</v>
      </c>
      <c r="C25" s="4"/>
      <c r="D25" s="18" t="b">
        <f t="shared" si="1"/>
        <v>0</v>
      </c>
      <c r="E25" s="36"/>
      <c r="F25" s="55"/>
      <c r="G25" s="52"/>
      <c r="K25" s="1" t="s">
        <v>86</v>
      </c>
    </row>
    <row r="26" spans="2:11" x14ac:dyDescent="0.25">
      <c r="B26" s="17" t="s">
        <v>31</v>
      </c>
      <c r="C26" s="4"/>
      <c r="D26" s="18" t="b">
        <f>IF(C26="Adecuada","5",IF(C26="Promedio","3",IF(C26="Inadecuada","0")))</f>
        <v>0</v>
      </c>
      <c r="E26" s="37"/>
      <c r="F26" s="56"/>
      <c r="G26" s="53"/>
    </row>
    <row r="27" spans="2:11" ht="30" x14ac:dyDescent="0.25">
      <c r="B27" s="16" t="s">
        <v>15</v>
      </c>
      <c r="C27" s="2" t="s">
        <v>11</v>
      </c>
      <c r="D27" s="14" t="s">
        <v>10</v>
      </c>
      <c r="E27" s="14" t="s">
        <v>58</v>
      </c>
      <c r="F27" s="14" t="s">
        <v>55</v>
      </c>
      <c r="G27" s="14" t="s">
        <v>57</v>
      </c>
    </row>
    <row r="28" spans="2:11" x14ac:dyDescent="0.25">
      <c r="B28" s="17" t="s">
        <v>23</v>
      </c>
      <c r="C28" s="4"/>
      <c r="D28" s="18" t="b">
        <f>IF(C28="Conservado","5",IF(C28="Descuidado","3",IF(C28="Sin Presencia","0")))</f>
        <v>0</v>
      </c>
      <c r="E28" s="35" cm="1">
        <f t="array" ref="E28">SUM((D28:D32)/5)</f>
        <v>0</v>
      </c>
      <c r="F28" s="47">
        <f>E28/5</f>
        <v>0</v>
      </c>
      <c r="G28" s="57" t="str">
        <f>IF(F28&gt;=80%,"Alto",IF(F28&gt;=60%,"Medianamente Alto",IF(F28&gt;=40%,"Medio",IF(F28&gt;=20%,"Medianamente Bajo","Bajo"))))</f>
        <v>Bajo</v>
      </c>
      <c r="I28" s="1" t="s">
        <v>68</v>
      </c>
      <c r="K28" s="1" t="s">
        <v>70</v>
      </c>
    </row>
    <row r="29" spans="2:11" x14ac:dyDescent="0.25">
      <c r="B29" s="15" t="s">
        <v>21</v>
      </c>
      <c r="C29" s="4"/>
      <c r="D29" s="18" t="b">
        <f t="shared" ref="D29:D31" si="2">IF(C29="Conservado","5",IF(C29="Descuidado","3",IF(C29="Sin Presencia","0")))</f>
        <v>0</v>
      </c>
      <c r="E29" s="36"/>
      <c r="F29" s="47"/>
      <c r="G29" s="57"/>
      <c r="I29" s="1" t="s">
        <v>69</v>
      </c>
      <c r="K29" s="1" t="s">
        <v>71</v>
      </c>
    </row>
    <row r="30" spans="2:11" x14ac:dyDescent="0.25">
      <c r="B30" s="15" t="s">
        <v>24</v>
      </c>
      <c r="C30" s="4"/>
      <c r="D30" s="18" t="b">
        <f t="shared" si="2"/>
        <v>0</v>
      </c>
      <c r="E30" s="36"/>
      <c r="F30" s="47"/>
      <c r="G30" s="57"/>
      <c r="I30" s="1" t="s">
        <v>63</v>
      </c>
      <c r="K30" s="1" t="s">
        <v>63</v>
      </c>
    </row>
    <row r="31" spans="2:11" x14ac:dyDescent="0.25">
      <c r="B31" s="15" t="s">
        <v>22</v>
      </c>
      <c r="C31" s="5"/>
      <c r="D31" s="18" t="b">
        <f t="shared" si="2"/>
        <v>0</v>
      </c>
      <c r="E31" s="36"/>
      <c r="F31" s="47"/>
      <c r="G31" s="57"/>
    </row>
    <row r="32" spans="2:11" x14ac:dyDescent="0.25">
      <c r="B32" s="15" t="s">
        <v>25</v>
      </c>
      <c r="C32" s="5"/>
      <c r="D32" s="18" t="b">
        <f>IF(C32="Identitario","5",IF(C32="Similar","3",IF(C32="Sin Presencia","0")))</f>
        <v>0</v>
      </c>
      <c r="E32" s="36"/>
      <c r="F32" s="47"/>
      <c r="G32" s="57"/>
    </row>
    <row r="33" spans="2:32" ht="30" x14ac:dyDescent="0.25">
      <c r="B33" s="16" t="s">
        <v>16</v>
      </c>
      <c r="C33" s="2" t="s">
        <v>11</v>
      </c>
      <c r="D33" s="14" t="s">
        <v>10</v>
      </c>
      <c r="E33" s="14" t="s">
        <v>58</v>
      </c>
      <c r="F33" s="19" t="s">
        <v>9</v>
      </c>
      <c r="G33" s="19"/>
      <c r="L33" s="40" t="s">
        <v>94</v>
      </c>
      <c r="M33" s="40"/>
      <c r="N33" s="40"/>
      <c r="O33" s="40"/>
      <c r="P33" s="20" t="s">
        <v>95</v>
      </c>
      <c r="Q33" s="20" t="s">
        <v>96</v>
      </c>
      <c r="R33" s="20" t="s">
        <v>97</v>
      </c>
      <c r="T33" s="25" t="s">
        <v>9</v>
      </c>
      <c r="U33" s="31" t="s">
        <v>109</v>
      </c>
      <c r="V33" s="31"/>
      <c r="W33" s="32" t="s">
        <v>110</v>
      </c>
      <c r="X33" s="33"/>
      <c r="Y33" s="33"/>
      <c r="Z33" s="33"/>
      <c r="AA33" s="33"/>
      <c r="AB33" s="33"/>
      <c r="AC33" s="33"/>
      <c r="AD33" s="33"/>
      <c r="AE33" s="33"/>
      <c r="AF33" s="34"/>
    </row>
    <row r="34" spans="2:32" ht="15" customHeight="1" x14ac:dyDescent="0.25">
      <c r="B34" s="15" t="s">
        <v>26</v>
      </c>
      <c r="C34" s="4"/>
      <c r="D34" s="18" t="b">
        <f>IF(C34="Identitarios","5",IF(C34="Similares","3",IF(C34="Sin Presencia","0")))</f>
        <v>0</v>
      </c>
      <c r="E34" s="35" cm="1">
        <f t="array" ref="E34">SUM((D34:D40)/7)</f>
        <v>0</v>
      </c>
      <c r="F34" s="54">
        <f>(E34/5)</f>
        <v>0</v>
      </c>
      <c r="G34" s="51" t="str">
        <f>IF(F34&gt;=80%,"Alto",IF(F34&gt;=60%,"Medianamente Alto",IF(F34&gt;=40%,"Medio",IF(F34&gt;=20%,"Medianamente Bajo","Bajo"))))</f>
        <v>Bajo</v>
      </c>
      <c r="I34" s="1" t="s">
        <v>72</v>
      </c>
      <c r="K34" s="1" t="s">
        <v>75</v>
      </c>
      <c r="L34" s="39" t="s">
        <v>99</v>
      </c>
      <c r="M34" s="39"/>
      <c r="N34" s="39"/>
      <c r="O34" s="39"/>
      <c r="P34" s="21">
        <f>E11</f>
        <v>0</v>
      </c>
      <c r="Q34" s="22">
        <v>0.15</v>
      </c>
      <c r="R34" s="21">
        <f>P34*Q34</f>
        <v>0</v>
      </c>
      <c r="T34" s="26" t="s">
        <v>111</v>
      </c>
      <c r="U34" s="27" t="s">
        <v>112</v>
      </c>
      <c r="V34" s="27"/>
      <c r="W34" s="28" t="s">
        <v>113</v>
      </c>
      <c r="X34" s="29"/>
      <c r="Y34" s="29"/>
      <c r="Z34" s="29"/>
      <c r="AA34" s="29"/>
      <c r="AB34" s="29"/>
      <c r="AC34" s="29"/>
      <c r="AD34" s="29"/>
      <c r="AE34" s="29"/>
      <c r="AF34" s="30"/>
    </row>
    <row r="35" spans="2:32" ht="15" customHeight="1" x14ac:dyDescent="0.25">
      <c r="B35" s="15" t="s">
        <v>27</v>
      </c>
      <c r="C35" s="4"/>
      <c r="D35" s="18" t="b">
        <f t="shared" ref="D35:D36" si="3">IF(C35="Identitarios","5",IF(C35="Similares","3",IF(C35="Sin Presencia","0")))</f>
        <v>0</v>
      </c>
      <c r="E35" s="36"/>
      <c r="F35" s="55"/>
      <c r="G35" s="52"/>
      <c r="I35" s="1" t="s">
        <v>74</v>
      </c>
      <c r="K35" s="1" t="s">
        <v>73</v>
      </c>
      <c r="L35" s="39" t="s">
        <v>100</v>
      </c>
      <c r="M35" s="39"/>
      <c r="N35" s="39"/>
      <c r="O35" s="39"/>
      <c r="P35" s="21">
        <f>E18</f>
        <v>0</v>
      </c>
      <c r="Q35" s="22">
        <v>0.25</v>
      </c>
      <c r="R35" s="21">
        <f>P35*Q35</f>
        <v>0</v>
      </c>
      <c r="T35" s="26" t="s">
        <v>114</v>
      </c>
      <c r="U35" s="27" t="s">
        <v>115</v>
      </c>
      <c r="V35" s="27"/>
      <c r="W35" s="28" t="s">
        <v>116</v>
      </c>
      <c r="X35" s="29"/>
      <c r="Y35" s="29"/>
      <c r="Z35" s="29"/>
      <c r="AA35" s="29"/>
      <c r="AB35" s="29"/>
      <c r="AC35" s="29"/>
      <c r="AD35" s="29"/>
      <c r="AE35" s="29"/>
      <c r="AF35" s="30"/>
    </row>
    <row r="36" spans="2:32" ht="15" customHeight="1" x14ac:dyDescent="0.25">
      <c r="B36" s="15" t="s">
        <v>19</v>
      </c>
      <c r="C36" s="4"/>
      <c r="D36" s="18" t="b">
        <f t="shared" si="3"/>
        <v>0</v>
      </c>
      <c r="E36" s="36"/>
      <c r="F36" s="55"/>
      <c r="G36" s="52"/>
      <c r="I36" s="1" t="s">
        <v>63</v>
      </c>
      <c r="K36" s="1" t="s">
        <v>63</v>
      </c>
      <c r="L36" s="39" t="s">
        <v>101</v>
      </c>
      <c r="M36" s="39"/>
      <c r="N36" s="39"/>
      <c r="O36" s="39"/>
      <c r="P36" s="21">
        <f>E28</f>
        <v>0</v>
      </c>
      <c r="Q36" s="22">
        <v>0.25</v>
      </c>
      <c r="R36" s="21">
        <f>P36*Q36</f>
        <v>0</v>
      </c>
      <c r="T36" s="26" t="s">
        <v>117</v>
      </c>
      <c r="U36" s="27" t="s">
        <v>50</v>
      </c>
      <c r="V36" s="27"/>
      <c r="W36" s="28" t="s">
        <v>118</v>
      </c>
      <c r="X36" s="29"/>
      <c r="Y36" s="29"/>
      <c r="Z36" s="29"/>
      <c r="AA36" s="29"/>
      <c r="AB36" s="29"/>
      <c r="AC36" s="29"/>
      <c r="AD36" s="29"/>
      <c r="AE36" s="29"/>
      <c r="AF36" s="30"/>
    </row>
    <row r="37" spans="2:32" ht="15" customHeight="1" x14ac:dyDescent="0.25">
      <c r="B37" s="15" t="s">
        <v>42</v>
      </c>
      <c r="C37" s="4"/>
      <c r="D37" s="18" t="b">
        <f>IF(C37="Importante","5",IF(C37="Promedio","3",IF(C37="Nula","0")))</f>
        <v>0</v>
      </c>
      <c r="E37" s="36"/>
      <c r="F37" s="55"/>
      <c r="G37" s="52"/>
      <c r="L37" s="39" t="s">
        <v>102</v>
      </c>
      <c r="M37" s="39"/>
      <c r="N37" s="39"/>
      <c r="O37" s="39"/>
      <c r="P37" s="21">
        <f>E34</f>
        <v>0</v>
      </c>
      <c r="Q37" s="22">
        <v>0.25</v>
      </c>
      <c r="R37" s="21">
        <f>P37*Q37</f>
        <v>0</v>
      </c>
      <c r="T37" s="26" t="s">
        <v>119</v>
      </c>
      <c r="U37" s="27" t="s">
        <v>120</v>
      </c>
      <c r="V37" s="27"/>
      <c r="W37" s="28" t="s">
        <v>121</v>
      </c>
      <c r="X37" s="29"/>
      <c r="Y37" s="29"/>
      <c r="Z37" s="29"/>
      <c r="AA37" s="29"/>
      <c r="AB37" s="29"/>
      <c r="AC37" s="29"/>
      <c r="AD37" s="29"/>
      <c r="AE37" s="29"/>
      <c r="AF37" s="30"/>
    </row>
    <row r="38" spans="2:32" ht="15" customHeight="1" x14ac:dyDescent="0.25">
      <c r="B38" s="15" t="s">
        <v>43</v>
      </c>
      <c r="C38" s="4"/>
      <c r="D38" s="18" t="b">
        <f>IF(C38="Importante","5",IF(C38="Promedio","3",IF(C38="Nula","0")))</f>
        <v>0</v>
      </c>
      <c r="E38" s="36"/>
      <c r="F38" s="55"/>
      <c r="G38" s="52"/>
      <c r="I38" s="1" t="s">
        <v>76</v>
      </c>
      <c r="K38" s="1" t="s">
        <v>78</v>
      </c>
      <c r="L38" s="39" t="s">
        <v>103</v>
      </c>
      <c r="M38" s="39"/>
      <c r="N38" s="39"/>
      <c r="O38" s="39"/>
      <c r="P38" s="23">
        <f>E42</f>
        <v>0</v>
      </c>
      <c r="Q38" s="22">
        <v>0.1</v>
      </c>
      <c r="R38" s="21">
        <f>P38*Q38</f>
        <v>0</v>
      </c>
      <c r="T38" s="26" t="s">
        <v>122</v>
      </c>
      <c r="U38" s="27" t="s">
        <v>123</v>
      </c>
      <c r="V38" s="27"/>
      <c r="W38" s="28" t="s">
        <v>124</v>
      </c>
      <c r="X38" s="29"/>
      <c r="Y38" s="29"/>
      <c r="Z38" s="29"/>
      <c r="AA38" s="29"/>
      <c r="AB38" s="29"/>
      <c r="AC38" s="29"/>
      <c r="AD38" s="29"/>
      <c r="AE38" s="29"/>
      <c r="AF38" s="30"/>
    </row>
    <row r="39" spans="2:32" ht="15.75" x14ac:dyDescent="0.25">
      <c r="B39" s="15" t="s">
        <v>20</v>
      </c>
      <c r="C39" s="4"/>
      <c r="D39" s="18" t="b">
        <f>IF(C39="Adecuado","5",IF(C39="Neutro","3",IF(C39="Inadecuado","0")))</f>
        <v>0</v>
      </c>
      <c r="E39" s="36"/>
      <c r="F39" s="55"/>
      <c r="G39" s="52"/>
      <c r="I39" s="1" t="s">
        <v>60</v>
      </c>
      <c r="K39" s="1" t="s">
        <v>50</v>
      </c>
      <c r="L39" s="41" t="s">
        <v>98</v>
      </c>
      <c r="M39" s="42"/>
      <c r="N39" s="42"/>
      <c r="O39" s="42"/>
      <c r="P39" s="43"/>
      <c r="Q39" s="24">
        <f>SUM(Q34:Q38)</f>
        <v>1</v>
      </c>
      <c r="R39" s="11">
        <f>SUM(R34:R38)</f>
        <v>0</v>
      </c>
    </row>
    <row r="40" spans="2:32" x14ac:dyDescent="0.25">
      <c r="B40" s="15" t="s">
        <v>44</v>
      </c>
      <c r="C40" s="4"/>
      <c r="D40" s="18" t="b">
        <f>IF(C40="Adecuado","5",IF(C40="Neutro","3",IF(C40="Inadecuado","0")))</f>
        <v>0</v>
      </c>
      <c r="E40" s="37"/>
      <c r="F40" s="56"/>
      <c r="G40" s="53"/>
      <c r="I40" s="1" t="s">
        <v>77</v>
      </c>
      <c r="K40" s="1" t="s">
        <v>79</v>
      </c>
    </row>
    <row r="41" spans="2:32" ht="30" x14ac:dyDescent="0.25">
      <c r="B41" s="16" t="s">
        <v>4</v>
      </c>
      <c r="C41" s="2" t="s">
        <v>11</v>
      </c>
      <c r="D41" s="14" t="s">
        <v>10</v>
      </c>
      <c r="E41" s="14"/>
      <c r="F41" s="19" t="s">
        <v>9</v>
      </c>
      <c r="G41" s="19"/>
      <c r="T41" s="6" t="s">
        <v>125</v>
      </c>
      <c r="U41" s="7" t="s">
        <v>126</v>
      </c>
      <c r="W41" s="6" t="s">
        <v>125</v>
      </c>
      <c r="X41" s="8">
        <f>$R$39</f>
        <v>0</v>
      </c>
      <c r="Z41" s="6" t="s">
        <v>127</v>
      </c>
      <c r="AA41" s="7" t="s">
        <v>128</v>
      </c>
      <c r="AB41" s="7" t="s">
        <v>129</v>
      </c>
    </row>
    <row r="42" spans="2:32" x14ac:dyDescent="0.25">
      <c r="B42" s="15" t="s">
        <v>35</v>
      </c>
      <c r="C42" s="4"/>
      <c r="D42" s="18" t="b">
        <f>IF(C42="Controlado","5",IF(C42="Presente","3",IF(C42="Afectado","0")))</f>
        <v>0</v>
      </c>
      <c r="E42" s="35" cm="1">
        <f t="array" ref="E42">SUM((D42:D48)/7)</f>
        <v>0</v>
      </c>
      <c r="F42" s="54">
        <f>(E42/5)</f>
        <v>0</v>
      </c>
      <c r="G42" s="51" t="str">
        <f>IF(F42&gt;=80%,"Alto",IF(F42&gt;=60%,"Medianamente Alto",IF(F42&gt;=40%,"Medio",IF(F42&gt;=20%,"Medianamente Bajo","Bajo"))))</f>
        <v>Bajo</v>
      </c>
      <c r="I42" s="1" t="s">
        <v>81</v>
      </c>
      <c r="K42" s="1" t="s">
        <v>87</v>
      </c>
      <c r="L42" s="1" t="s">
        <v>104</v>
      </c>
      <c r="M42" s="8">
        <f>P34</f>
        <v>0</v>
      </c>
      <c r="N42" s="1">
        <f>((M42)/5)</f>
        <v>0</v>
      </c>
      <c r="T42" s="1" t="s">
        <v>122</v>
      </c>
      <c r="U42" s="9">
        <v>20</v>
      </c>
      <c r="W42" s="6" t="s">
        <v>133</v>
      </c>
      <c r="X42" s="10">
        <f>X41/5</f>
        <v>0</v>
      </c>
      <c r="Z42" s="1" t="s">
        <v>130</v>
      </c>
      <c r="AA42" s="9">
        <v>0</v>
      </c>
      <c r="AB42" s="9">
        <v>0</v>
      </c>
    </row>
    <row r="43" spans="2:32" x14ac:dyDescent="0.25">
      <c r="B43" s="15" t="s">
        <v>36</v>
      </c>
      <c r="C43" s="4"/>
      <c r="D43" s="18" t="b">
        <f t="shared" ref="D43:D48" si="4">IF(C43="Controlado","5",IF(C43="Presente","3",IF(C43="Afectado","0")))</f>
        <v>0</v>
      </c>
      <c r="E43" s="36"/>
      <c r="F43" s="55"/>
      <c r="G43" s="52"/>
      <c r="I43" s="1" t="s">
        <v>80</v>
      </c>
      <c r="K43" s="1" t="s">
        <v>89</v>
      </c>
      <c r="L43" s="1" t="s">
        <v>105</v>
      </c>
      <c r="M43" s="8">
        <f t="shared" ref="M43:M46" si="5">P35</f>
        <v>0</v>
      </c>
      <c r="T43" s="1" t="s">
        <v>119</v>
      </c>
      <c r="U43" s="9">
        <v>20</v>
      </c>
      <c r="W43" s="6" t="s">
        <v>131</v>
      </c>
      <c r="X43" s="1">
        <f>X42*PI()</f>
        <v>0</v>
      </c>
      <c r="Z43" s="1" t="s">
        <v>132</v>
      </c>
      <c r="AA43" s="9">
        <f>COS(X43)*-1</f>
        <v>-1</v>
      </c>
      <c r="AB43" s="9">
        <f>SIN(X43)</f>
        <v>0</v>
      </c>
    </row>
    <row r="44" spans="2:32" x14ac:dyDescent="0.25">
      <c r="B44" s="15" t="s">
        <v>37</v>
      </c>
      <c r="C44" s="4"/>
      <c r="D44" s="18" t="b">
        <f t="shared" si="4"/>
        <v>0</v>
      </c>
      <c r="E44" s="36"/>
      <c r="F44" s="55"/>
      <c r="G44" s="52"/>
      <c r="I44" s="1" t="s">
        <v>82</v>
      </c>
      <c r="K44" s="1" t="s">
        <v>88</v>
      </c>
      <c r="L44" s="1" t="s">
        <v>106</v>
      </c>
      <c r="M44" s="8">
        <f t="shared" si="5"/>
        <v>0</v>
      </c>
      <c r="T44" s="1" t="s">
        <v>117</v>
      </c>
      <c r="U44" s="9">
        <v>20</v>
      </c>
      <c r="W44" s="6"/>
    </row>
    <row r="45" spans="2:32" x14ac:dyDescent="0.25">
      <c r="B45" s="15" t="s">
        <v>38</v>
      </c>
      <c r="C45" s="4"/>
      <c r="D45" s="18" t="b">
        <f t="shared" si="4"/>
        <v>0</v>
      </c>
      <c r="E45" s="36"/>
      <c r="F45" s="55"/>
      <c r="G45" s="52"/>
      <c r="K45" s="1" t="s">
        <v>90</v>
      </c>
      <c r="L45" s="1" t="s">
        <v>107</v>
      </c>
      <c r="M45" s="8">
        <f t="shared" si="5"/>
        <v>0</v>
      </c>
      <c r="T45" s="1" t="s">
        <v>114</v>
      </c>
      <c r="U45" s="9">
        <v>20</v>
      </c>
    </row>
    <row r="46" spans="2:32" x14ac:dyDescent="0.25">
      <c r="B46" s="15" t="s">
        <v>39</v>
      </c>
      <c r="C46" s="4"/>
      <c r="D46" s="18" t="b">
        <f t="shared" si="4"/>
        <v>0</v>
      </c>
      <c r="E46" s="36"/>
      <c r="F46" s="55"/>
      <c r="G46" s="52"/>
      <c r="L46" s="1" t="s">
        <v>108</v>
      </c>
      <c r="M46" s="8">
        <f t="shared" si="5"/>
        <v>0</v>
      </c>
      <c r="T46" s="1" t="s">
        <v>111</v>
      </c>
      <c r="U46" s="9">
        <v>20</v>
      </c>
    </row>
    <row r="47" spans="2:32" x14ac:dyDescent="0.25">
      <c r="B47" s="17" t="s">
        <v>40</v>
      </c>
      <c r="C47" s="4"/>
      <c r="D47" s="18" t="b">
        <f t="shared" si="4"/>
        <v>0</v>
      </c>
      <c r="E47" s="36"/>
      <c r="F47" s="55"/>
      <c r="G47" s="52"/>
      <c r="U47" s="7">
        <f>SUM(U42:U46)</f>
        <v>100</v>
      </c>
    </row>
    <row r="48" spans="2:32" x14ac:dyDescent="0.25">
      <c r="B48" s="15" t="s">
        <v>41</v>
      </c>
      <c r="C48" s="4"/>
      <c r="D48" s="18" t="b">
        <f t="shared" si="4"/>
        <v>0</v>
      </c>
      <c r="E48" s="37"/>
      <c r="F48" s="56"/>
      <c r="G48" s="53"/>
    </row>
  </sheetData>
  <sheetProtection algorithmName="SHA-512" hashValue="9RgkWHqAtH5llrTQkCngfOGZNpgPpJ8gOkDZFQH/Q/x9Zxo8GFpx8hfvhPpq/MfONTiMSLZ+OuyWsSRRkDGtMQ==" saltValue="hClgJyvxrN/vPL4crJ+VJQ==" spinCount="100000" sheet="1" objects="1" scenarios="1"/>
  <mergeCells count="41">
    <mergeCell ref="B9:G9"/>
    <mergeCell ref="G42:G48"/>
    <mergeCell ref="F18:F26"/>
    <mergeCell ref="F34:F40"/>
    <mergeCell ref="F42:F48"/>
    <mergeCell ref="F28:F32"/>
    <mergeCell ref="G11:G16"/>
    <mergeCell ref="E11:E16"/>
    <mergeCell ref="G18:G26"/>
    <mergeCell ref="G28:G32"/>
    <mergeCell ref="G34:G40"/>
    <mergeCell ref="E28:E32"/>
    <mergeCell ref="E34:E40"/>
    <mergeCell ref="E42:E48"/>
    <mergeCell ref="L2:N2"/>
    <mergeCell ref="L34:O34"/>
    <mergeCell ref="L35:O35"/>
    <mergeCell ref="L36:O36"/>
    <mergeCell ref="L37:O37"/>
    <mergeCell ref="L33:O33"/>
    <mergeCell ref="L38:O38"/>
    <mergeCell ref="L39:P39"/>
    <mergeCell ref="B2:I2"/>
    <mergeCell ref="E18:E26"/>
    <mergeCell ref="C7:I7"/>
    <mergeCell ref="C4:I4"/>
    <mergeCell ref="C5:I5"/>
    <mergeCell ref="C6:I6"/>
    <mergeCell ref="F11:F16"/>
    <mergeCell ref="U33:V33"/>
    <mergeCell ref="U34:V34"/>
    <mergeCell ref="U35:V35"/>
    <mergeCell ref="W34:AF34"/>
    <mergeCell ref="W35:AF35"/>
    <mergeCell ref="W33:AF33"/>
    <mergeCell ref="U36:V36"/>
    <mergeCell ref="U37:V37"/>
    <mergeCell ref="U38:V38"/>
    <mergeCell ref="W36:AF36"/>
    <mergeCell ref="W37:AF37"/>
    <mergeCell ref="W38:AF38"/>
  </mergeCells>
  <conditionalFormatting sqref="F11:F16">
    <cfRule type="cellIs" dxfId="49" priority="59" operator="between">
      <formula>0%</formula>
      <formula>19%</formula>
    </cfRule>
    <cfRule type="cellIs" dxfId="48" priority="57" operator="between">
      <formula>40%</formula>
      <formula>59%</formula>
    </cfRule>
    <cfRule type="cellIs" dxfId="47" priority="56" operator="between">
      <formula>60%</formula>
      <formula>79%</formula>
    </cfRule>
    <cfRule type="cellIs" dxfId="46" priority="55" operator="between">
      <formula>80%</formula>
      <formula>100%</formula>
    </cfRule>
    <cfRule type="cellIs" dxfId="45" priority="58" operator="between">
      <formula>20%</formula>
      <formula>39%</formula>
    </cfRule>
  </conditionalFormatting>
  <conditionalFormatting sqref="F18">
    <cfRule type="cellIs" dxfId="44" priority="51" operator="between">
      <formula>60%</formula>
      <formula>79%</formula>
    </cfRule>
    <cfRule type="cellIs" dxfId="43" priority="54" operator="between">
      <formula>0%</formula>
      <formula>19%</formula>
    </cfRule>
    <cfRule type="cellIs" dxfId="42" priority="53" operator="between">
      <formula>20%</formula>
      <formula>39%</formula>
    </cfRule>
    <cfRule type="cellIs" dxfId="41" priority="52" operator="between">
      <formula>40%</formula>
      <formula>59%</formula>
    </cfRule>
    <cfRule type="cellIs" dxfId="40" priority="50" operator="between">
      <formula>80%</formula>
      <formula>100%</formula>
    </cfRule>
  </conditionalFormatting>
  <conditionalFormatting sqref="F28:F32">
    <cfRule type="cellIs" dxfId="39" priority="9" operator="between">
      <formula>60%</formula>
      <formula>79%</formula>
    </cfRule>
    <cfRule type="cellIs" dxfId="38" priority="8" operator="between">
      <formula>80%</formula>
      <formula>100%</formula>
    </cfRule>
    <cfRule type="cellIs" dxfId="37" priority="10" operator="between">
      <formula>40%</formula>
      <formula>59%</formula>
    </cfRule>
    <cfRule type="cellIs" dxfId="36" priority="11" operator="between">
      <formula>20%</formula>
      <formula>39%</formula>
    </cfRule>
    <cfRule type="cellIs" dxfId="35" priority="12" operator="between">
      <formula>0%</formula>
      <formula>19%</formula>
    </cfRule>
  </conditionalFormatting>
  <conditionalFormatting sqref="F34">
    <cfRule type="cellIs" dxfId="34" priority="35" operator="between">
      <formula>60%</formula>
      <formula>79%</formula>
    </cfRule>
    <cfRule type="cellIs" dxfId="33" priority="34" operator="between">
      <formula>80%</formula>
      <formula>100%</formula>
    </cfRule>
    <cfRule type="cellIs" dxfId="32" priority="38" operator="between">
      <formula>0%</formula>
      <formula>19%</formula>
    </cfRule>
    <cfRule type="cellIs" dxfId="31" priority="37" operator="between">
      <formula>20%</formula>
      <formula>39%</formula>
    </cfRule>
    <cfRule type="cellIs" dxfId="30" priority="36" operator="between">
      <formula>40%</formula>
      <formula>59%</formula>
    </cfRule>
  </conditionalFormatting>
  <conditionalFormatting sqref="F42">
    <cfRule type="cellIs" dxfId="29" priority="32" operator="between">
      <formula>20%</formula>
      <formula>39%</formula>
    </cfRule>
    <cfRule type="cellIs" dxfId="28" priority="33" operator="between">
      <formula>0%</formula>
      <formula>19%</formula>
    </cfRule>
    <cfRule type="cellIs" dxfId="27" priority="29" operator="between">
      <formula>80%</formula>
      <formula>100%</formula>
    </cfRule>
    <cfRule type="cellIs" dxfId="26" priority="30" operator="between">
      <formula>60%</formula>
      <formula>79%</formula>
    </cfRule>
    <cfRule type="cellIs" dxfId="25" priority="31" operator="between">
      <formula>40%</formula>
      <formula>59%</formula>
    </cfRule>
  </conditionalFormatting>
  <conditionalFormatting sqref="G11:G16">
    <cfRule type="containsText" dxfId="24" priority="66" operator="containsText" text="Medianamente Alto">
      <formula>NOT(ISERROR(SEARCH("Medianamente Alto",G11)))</formula>
    </cfRule>
    <cfRule type="containsText" dxfId="23" priority="67" operator="containsText" text="Alto">
      <formula>NOT(ISERROR(SEARCH("Alto",G11)))</formula>
    </cfRule>
    <cfRule type="containsText" dxfId="22" priority="68" operator="containsText" text="Medio">
      <formula>NOT(ISERROR(SEARCH("Medio",G11)))</formula>
    </cfRule>
    <cfRule type="containsText" dxfId="21" priority="69" operator="containsText" text="Medianamente Bajo">
      <formula>NOT(ISERROR(SEARCH("Medianamente Bajo",G11)))</formula>
    </cfRule>
    <cfRule type="containsText" dxfId="20" priority="70" operator="containsText" text="Bajo">
      <formula>NOT(ISERROR(SEARCH("Bajo",G11)))</formula>
    </cfRule>
  </conditionalFormatting>
  <conditionalFormatting sqref="G18">
    <cfRule type="containsText" dxfId="19" priority="45" operator="containsText" text="Medianamente Alto">
      <formula>NOT(ISERROR(SEARCH("Medianamente Alto",G18)))</formula>
    </cfRule>
    <cfRule type="containsText" dxfId="18" priority="46" operator="containsText" text="Alto">
      <formula>NOT(ISERROR(SEARCH("Alto",G18)))</formula>
    </cfRule>
    <cfRule type="containsText" dxfId="17" priority="47" operator="containsText" text="Medio">
      <formula>NOT(ISERROR(SEARCH("Medio",G18)))</formula>
    </cfRule>
    <cfRule type="containsText" dxfId="16" priority="48" operator="containsText" text="Medianamente Bajo">
      <formula>NOT(ISERROR(SEARCH("Medianamente Bajo",G18)))</formula>
    </cfRule>
    <cfRule type="containsText" dxfId="15" priority="49" operator="containsText" text="Bajo">
      <formula>NOT(ISERROR(SEARCH("Bajo",G18)))</formula>
    </cfRule>
  </conditionalFormatting>
  <conditionalFormatting sqref="G28:G32">
    <cfRule type="containsText" dxfId="14" priority="28" operator="containsText" text="Bajo">
      <formula>NOT(ISERROR(SEARCH("Bajo",G28)))</formula>
    </cfRule>
    <cfRule type="containsText" dxfId="13" priority="27" operator="containsText" text="Medianamente Bajo">
      <formula>NOT(ISERROR(SEARCH("Medianamente Bajo",G28)))</formula>
    </cfRule>
    <cfRule type="containsText" dxfId="12" priority="26" operator="containsText" text="Medio">
      <formula>NOT(ISERROR(SEARCH("Medio",G28)))</formula>
    </cfRule>
    <cfRule type="containsText" dxfId="11" priority="25" operator="containsText" text="Alto">
      <formula>NOT(ISERROR(SEARCH("Alto",G28)))</formula>
    </cfRule>
    <cfRule type="containsText" dxfId="10" priority="24" operator="containsText" text="Medianamente Alto">
      <formula>NOT(ISERROR(SEARCH("Medianamente Alto",G28)))</formula>
    </cfRule>
  </conditionalFormatting>
  <conditionalFormatting sqref="G34">
    <cfRule type="containsText" dxfId="9" priority="23" operator="containsText" text="Bajo">
      <formula>NOT(ISERROR(SEARCH("Bajo",G34)))</formula>
    </cfRule>
    <cfRule type="containsText" dxfId="8" priority="22" operator="containsText" text="Medianamente Bajo">
      <formula>NOT(ISERROR(SEARCH("Medianamente Bajo",G34)))</formula>
    </cfRule>
    <cfRule type="containsText" dxfId="7" priority="21" operator="containsText" text="Medio">
      <formula>NOT(ISERROR(SEARCH("Medio",G34)))</formula>
    </cfRule>
    <cfRule type="containsText" dxfId="6" priority="20" operator="containsText" text="Alto">
      <formula>NOT(ISERROR(SEARCH("Alto",G34)))</formula>
    </cfRule>
    <cfRule type="containsText" dxfId="5" priority="19" operator="containsText" text="Medianamente Alto">
      <formula>NOT(ISERROR(SEARCH("Medianamente Alto",G34)))</formula>
    </cfRule>
  </conditionalFormatting>
  <conditionalFormatting sqref="G42">
    <cfRule type="containsText" dxfId="4" priority="18" operator="containsText" text="Bajo">
      <formula>NOT(ISERROR(SEARCH("Bajo",G42)))</formula>
    </cfRule>
    <cfRule type="containsText" dxfId="3" priority="17" operator="containsText" text="Medianamente Bajo">
      <formula>NOT(ISERROR(SEARCH("Medianamente Bajo",G42)))</formula>
    </cfRule>
    <cfRule type="containsText" dxfId="2" priority="15" operator="containsText" text="Alto">
      <formula>NOT(ISERROR(SEARCH("Alto",G42)))</formula>
    </cfRule>
    <cfRule type="containsText" dxfId="1" priority="16" operator="containsText" text="Medio">
      <formula>NOT(ISERROR(SEARCH("Medio",G42)))</formula>
    </cfRule>
    <cfRule type="containsText" dxfId="0" priority="14" operator="containsText" text="Medianamente Alto">
      <formula>NOT(ISERROR(SEARCH("Medianamente Alto",G42)))</formula>
    </cfRule>
  </conditionalFormatting>
  <dataValidations count="13">
    <dataValidation type="list" allowBlank="1" showInputMessage="1" showErrorMessage="1" sqref="C11:C14" xr:uid="{A674E021-BBEA-4FB2-BA8C-A31C53E619C6}">
      <formula1>$I$11:$I$13</formula1>
    </dataValidation>
    <dataValidation type="list" allowBlank="1" showInputMessage="1" showErrorMessage="1" sqref="C15:C16" xr:uid="{4E8BCC6F-2DDB-403B-89B6-D928E75D9F90}">
      <formula1>$K$11:$K$13</formula1>
    </dataValidation>
    <dataValidation type="list" allowBlank="1" showInputMessage="1" showErrorMessage="1" sqref="C20:C25" xr:uid="{D08DCBB2-C0C5-4D52-B0C9-DD848833BC1F}">
      <formula1>$I$18:$I$20</formula1>
    </dataValidation>
    <dataValidation type="list" allowBlank="1" showInputMessage="1" showErrorMessage="1" sqref="C18:C19" xr:uid="{E99DF806-A900-4099-8E83-6998CCEEE750}">
      <formula1>$K$18:$K$20</formula1>
    </dataValidation>
    <dataValidation type="list" allowBlank="1" showInputMessage="1" showErrorMessage="1" sqref="C26" xr:uid="{905EF6B2-2DFC-4494-82EB-7C1B80BA4EBE}">
      <formula1>$I$22:$I$24</formula1>
    </dataValidation>
    <dataValidation type="list" allowBlank="1" showInputMessage="1" showErrorMessage="1" sqref="C28:C31" xr:uid="{E90BF357-7088-4714-91F2-8A4B7D7F863B}">
      <formula1>$I$28:$I$30</formula1>
    </dataValidation>
    <dataValidation type="list" allowBlank="1" showInputMessage="1" showErrorMessage="1" sqref="C32" xr:uid="{114B6581-73FF-4BBE-BC89-A3218A8F7085}">
      <formula1>$K$28:$K$30</formula1>
    </dataValidation>
    <dataValidation type="list" allowBlank="1" showInputMessage="1" showErrorMessage="1" sqref="C34:C36" xr:uid="{208E7F80-6EF9-4A61-B294-4FE49EBF284B}">
      <formula1>$I$34:$I$36</formula1>
    </dataValidation>
    <dataValidation type="list" allowBlank="1" showInputMessage="1" showErrorMessage="1" sqref="C37:C38" xr:uid="{360DF813-7D4A-4183-A2D4-AFFCCC1F3A8B}">
      <formula1>$I$38:$I$40</formula1>
    </dataValidation>
    <dataValidation type="list" allowBlank="1" showInputMessage="1" showErrorMessage="1" sqref="C39:C40" xr:uid="{33876939-B08E-4CCE-A7E6-62CE254A0731}">
      <formula1>$K$38:$K$40</formula1>
    </dataValidation>
    <dataValidation type="list" allowBlank="1" showInputMessage="1" showErrorMessage="1" sqref="C42:C48" xr:uid="{CE15DDBA-B66B-4B89-8063-B9046528A12F}">
      <formula1>$I$42:$I$44</formula1>
    </dataValidation>
    <dataValidation type="list" allowBlank="1" showInputMessage="1" showErrorMessage="1" sqref="C5:I5" xr:uid="{7F66B235-007A-41B5-812E-5CD930FA8F3A}">
      <formula1>$K$22:$K$25</formula1>
    </dataValidation>
    <dataValidation type="list" allowBlank="1" showInputMessage="1" showErrorMessage="1" sqref="C4:I4" xr:uid="{D755DCEE-215F-49AB-B161-3E91C758651A}">
      <formula1>$K$42:$K$45</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63" id="{9CFD20F4-0911-4C56-9FCB-AEFEC6F1BB42}">
            <x14:iconSet iconSet="5Arrows" custom="1">
              <x14:cfvo type="percent">
                <xm:f>0</xm:f>
              </x14:cfvo>
              <x14:cfvo type="num">
                <xm:f>1.01</xm:f>
              </x14:cfvo>
              <x14:cfvo type="num">
                <xm:f>2.0099999999999998</xm:f>
              </x14:cfvo>
              <x14:cfvo type="num">
                <xm:f>3.01</xm:f>
              </x14:cfvo>
              <x14:cfvo type="num">
                <xm:f>4.01</xm:f>
              </x14:cfvo>
              <x14:cfIcon iconSet="3TrafficLights2" iconId="0"/>
              <x14:cfIcon iconSet="3Triangles" iconId="0"/>
              <x14:cfIcon iconSet="3TrafficLights2" iconId="1"/>
              <x14:cfIcon iconSet="3Triangles" iconId="2"/>
              <x14:cfIcon iconSet="3TrafficLights2" iconId="2"/>
            </x14:iconSet>
          </x14:cfRule>
          <xm:sqref>E11:E16</xm:sqref>
        </x14:conditionalFormatting>
        <x14:conditionalFormatting xmlns:xm="http://schemas.microsoft.com/office/excel/2006/main">
          <x14:cfRule type="iconSet" priority="44" id="{2503FBDB-C309-4CDD-BBC7-284E7693986F}">
            <x14:iconSet iconSet="5Arrows" custom="1">
              <x14:cfvo type="percent">
                <xm:f>0</xm:f>
              </x14:cfvo>
              <x14:cfvo type="num">
                <xm:f>1.01</xm:f>
              </x14:cfvo>
              <x14:cfvo type="num">
                <xm:f>2.0099999999999998</xm:f>
              </x14:cfvo>
              <x14:cfvo type="num">
                <xm:f>3.01</xm:f>
              </x14:cfvo>
              <x14:cfvo type="num">
                <xm:f>4.01</xm:f>
              </x14:cfvo>
              <x14:cfIcon iconSet="3TrafficLights2" iconId="0"/>
              <x14:cfIcon iconSet="3Triangles" iconId="0"/>
              <x14:cfIcon iconSet="3TrafficLights2" iconId="1"/>
              <x14:cfIcon iconSet="3Triangles" iconId="2"/>
              <x14:cfIcon iconSet="3TrafficLights2" iconId="2"/>
            </x14:iconSet>
          </x14:cfRule>
          <xm:sqref>E18</xm:sqref>
        </x14:conditionalFormatting>
        <x14:conditionalFormatting xmlns:xm="http://schemas.microsoft.com/office/excel/2006/main">
          <x14:cfRule type="iconSet" priority="13" id="{47AD5814-3B99-4AB2-A05D-511910A6A60C}">
            <x14:iconSet iconSet="5Arrows" custom="1">
              <x14:cfvo type="percent">
                <xm:f>0</xm:f>
              </x14:cfvo>
              <x14:cfvo type="num">
                <xm:f>1.01</xm:f>
              </x14:cfvo>
              <x14:cfvo type="num">
                <xm:f>2.0099999999999998</xm:f>
              </x14:cfvo>
              <x14:cfvo type="num">
                <xm:f>3.01</xm:f>
              </x14:cfvo>
              <x14:cfvo type="num">
                <xm:f>4.01</xm:f>
              </x14:cfvo>
              <x14:cfIcon iconSet="3TrafficLights2" iconId="0"/>
              <x14:cfIcon iconSet="3Triangles" iconId="0"/>
              <x14:cfIcon iconSet="3TrafficLights2" iconId="1"/>
              <x14:cfIcon iconSet="3Triangles" iconId="2"/>
              <x14:cfIcon iconSet="3TrafficLights2" iconId="2"/>
            </x14:iconSet>
          </x14:cfRule>
          <xm:sqref>E28</xm:sqref>
        </x14:conditionalFormatting>
        <x14:conditionalFormatting xmlns:xm="http://schemas.microsoft.com/office/excel/2006/main">
          <x14:cfRule type="iconSet" priority="7" id="{1CC60141-2463-4258-B582-97305E11BD52}">
            <x14:iconSet iconSet="5Arrows" custom="1">
              <x14:cfvo type="percent">
                <xm:f>0</xm:f>
              </x14:cfvo>
              <x14:cfvo type="num">
                <xm:f>1.01</xm:f>
              </x14:cfvo>
              <x14:cfvo type="num">
                <xm:f>2.0099999999999998</xm:f>
              </x14:cfvo>
              <x14:cfvo type="num">
                <xm:f>3.01</xm:f>
              </x14:cfvo>
              <x14:cfvo type="num">
                <xm:f>4.01</xm:f>
              </x14:cfvo>
              <x14:cfIcon iconSet="3TrafficLights2" iconId="0"/>
              <x14:cfIcon iconSet="3Triangles" iconId="0"/>
              <x14:cfIcon iconSet="3TrafficLights2" iconId="1"/>
              <x14:cfIcon iconSet="3Triangles" iconId="2"/>
              <x14:cfIcon iconSet="3TrafficLights2" iconId="2"/>
            </x14:iconSet>
          </x14:cfRule>
          <xm:sqref>E34</xm:sqref>
        </x14:conditionalFormatting>
        <x14:conditionalFormatting xmlns:xm="http://schemas.microsoft.com/office/excel/2006/main">
          <x14:cfRule type="iconSet" priority="6" id="{022CCDA1-1A83-4F28-A2CD-C64683CC6876}">
            <x14:iconSet iconSet="5Arrows" custom="1">
              <x14:cfvo type="percent">
                <xm:f>0</xm:f>
              </x14:cfvo>
              <x14:cfvo type="num">
                <xm:f>1.01</xm:f>
              </x14:cfvo>
              <x14:cfvo type="num">
                <xm:f>2.0099999999999998</xm:f>
              </x14:cfvo>
              <x14:cfvo type="num">
                <xm:f>3.01</xm:f>
              </x14:cfvo>
              <x14:cfvo type="num">
                <xm:f>4.01</xm:f>
              </x14:cfvo>
              <x14:cfIcon iconSet="3TrafficLights2" iconId="0"/>
              <x14:cfIcon iconSet="3Triangles" iconId="0"/>
              <x14:cfIcon iconSet="3TrafficLights2" iconId="1"/>
              <x14:cfIcon iconSet="3Triangles" iconId="2"/>
              <x14:cfIcon iconSet="3TrafficLights2" iconId="2"/>
            </x14:iconSet>
          </x14:cfRule>
          <xm:sqref>E42</xm:sqref>
        </x14:conditionalFormatting>
        <x14:conditionalFormatting xmlns:xm="http://schemas.microsoft.com/office/excel/2006/main">
          <x14:cfRule type="iconSet" priority="3" id="{E8C513FC-80E7-4FF2-B2A9-C4CA8446568C}">
            <x14:iconSet iconSet="5Arrows" custom="1">
              <x14:cfvo type="percent">
                <xm:f>0</xm:f>
              </x14:cfvo>
              <x14:cfvo type="num">
                <xm:f>0.15</xm:f>
              </x14:cfvo>
              <x14:cfvo type="num">
                <xm:f>0.3</xm:f>
              </x14:cfvo>
              <x14:cfvo type="num">
                <xm:f>0.45</xm:f>
              </x14:cfvo>
              <x14:cfvo type="num">
                <xm:f>0.6</xm:f>
              </x14:cfvo>
              <x14:cfIcon iconSet="3TrafficLights2" iconId="0"/>
              <x14:cfIcon iconSet="3Triangles" iconId="0"/>
              <x14:cfIcon iconSet="3TrafficLights2" iconId="1"/>
              <x14:cfIcon iconSet="3Triangles" iconId="2"/>
              <x14:cfIcon iconSet="3TrafficLights2" iconId="2"/>
            </x14:iconSet>
          </x14:cfRule>
          <xm:sqref>R34</xm:sqref>
        </x14:conditionalFormatting>
        <x14:conditionalFormatting xmlns:xm="http://schemas.microsoft.com/office/excel/2006/main">
          <x14:cfRule type="iconSet" priority="2" id="{193D6AF0-B704-4969-8200-416A70D4008B}">
            <x14:iconSet iconSet="5Arrows" custom="1">
              <x14:cfvo type="percent">
                <xm:f>0</xm:f>
              </x14:cfvo>
              <x14:cfvo type="num">
                <xm:f>0.25</xm:f>
              </x14:cfvo>
              <x14:cfvo type="num">
                <xm:f>0.5</xm:f>
              </x14:cfvo>
              <x14:cfvo type="num">
                <xm:f>0.75</xm:f>
              </x14:cfvo>
              <x14:cfvo type="num">
                <xm:f>1</xm:f>
              </x14:cfvo>
              <x14:cfIcon iconSet="3TrafficLights2" iconId="0"/>
              <x14:cfIcon iconSet="3Triangles" iconId="0"/>
              <x14:cfIcon iconSet="3TrafficLights2" iconId="1"/>
              <x14:cfIcon iconSet="3Triangles" iconId="2"/>
              <x14:cfIcon iconSet="3TrafficLights2" iconId="2"/>
            </x14:iconSet>
          </x14:cfRule>
          <xm:sqref>R35:R37</xm:sqref>
        </x14:conditionalFormatting>
        <x14:conditionalFormatting xmlns:xm="http://schemas.microsoft.com/office/excel/2006/main">
          <x14:cfRule type="iconSet" priority="1" id="{7889F4A5-2D2D-4E15-BA23-0F6AA2F67E39}">
            <x14:iconSet iconSet="5Arrows" custom="1">
              <x14:cfvo type="percent">
                <xm:f>0</xm:f>
              </x14:cfvo>
              <x14:cfvo type="num">
                <xm:f>0.1</xm:f>
              </x14:cfvo>
              <x14:cfvo type="num">
                <xm:f>0.2</xm:f>
              </x14:cfvo>
              <x14:cfvo type="num">
                <xm:f>0.3</xm:f>
              </x14:cfvo>
              <x14:cfvo type="num">
                <xm:f>0.4</xm:f>
              </x14:cfvo>
              <x14:cfIcon iconSet="3TrafficLights2" iconId="0"/>
              <x14:cfIcon iconSet="3Triangles" iconId="0"/>
              <x14:cfIcon iconSet="3TrafficLights2" iconId="1"/>
              <x14:cfIcon iconSet="3Triangles" iconId="2"/>
              <x14:cfIcon iconSet="3TrafficLights2" iconId="2"/>
            </x14:iconSet>
          </x14:cfRule>
          <xm:sqref>R38</xm:sqref>
        </x14:conditionalFormatting>
        <x14:conditionalFormatting xmlns:xm="http://schemas.microsoft.com/office/excel/2006/main">
          <x14:cfRule type="iconSet" priority="4" id="{7437005E-F2EB-4588-ACA2-5BDF2CF79CAE}">
            <x14:iconSet iconSet="5Arrows" custom="1">
              <x14:cfvo type="percent">
                <xm:f>0</xm:f>
              </x14:cfvo>
              <x14:cfvo type="num">
                <xm:f>1</xm:f>
              </x14:cfvo>
              <x14:cfvo type="num">
                <xm:f>2</xm:f>
              </x14:cfvo>
              <x14:cfvo type="num">
                <xm:f>3</xm:f>
              </x14:cfvo>
              <x14:cfvo type="num">
                <xm:f>4</xm:f>
              </x14:cfvo>
              <x14:cfIcon iconSet="3TrafficLights2" iconId="0"/>
              <x14:cfIcon iconSet="3Triangles" iconId="0"/>
              <x14:cfIcon iconSet="3TrafficLights2" iconId="1"/>
              <x14:cfIcon iconSet="3Triangles" iconId="2"/>
              <x14:cfIcon iconSet="3TrafficLights2" iconId="2"/>
            </x14:iconSet>
          </x14:cfRule>
          <xm:sqref>R39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PRT</vt:lpstr>
      <vt:lpstr>PRT!OLE_LINK1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Numa Sebastian Calle Lituma</dc:creator>
  <cp:lastModifiedBy>Numa Sebastian Calle Lituma</cp:lastModifiedBy>
  <dcterms:created xsi:type="dcterms:W3CDTF">2025-03-17T15:14:11Z</dcterms:created>
  <dcterms:modified xsi:type="dcterms:W3CDTF">2025-05-20T22:56:03Z</dcterms:modified>
</cp:coreProperties>
</file>