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D\Desktop\Universidades\Asignaturas ESPOL\Fundamentos de Planificación Turística\Herreamientas Libro\Contextualización Turística Territorial\"/>
    </mc:Choice>
  </mc:AlternateContent>
  <xr:revisionPtr revIDLastSave="0" documentId="13_ncr:1_{64B73C64-A7FB-444F-BF16-738B03B0F1F0}" xr6:coauthVersionLast="47" xr6:coauthVersionMax="47" xr10:uidLastSave="{00000000-0000-0000-0000-000000000000}"/>
  <bookViews>
    <workbookView xWindow="-120" yWindow="-120" windowWidth="20730" windowHeight="11160" xr2:uid="{2F9CA6D5-6083-415C-9EC7-AC40337E97AE}"/>
  </bookViews>
  <sheets>
    <sheet name="ICT(Rt-At)" sheetId="1" r:id="rId1"/>
    <sheet name="ICT(Pt)" sheetId="3" r:id="rId2"/>
  </sheets>
  <definedNames>
    <definedName name="_xlchart.v1.0" hidden="1">'ICT(Rt-At)'!$C$7:$D$28</definedName>
    <definedName name="_xlchart.v1.1" hidden="1">'ICT(Rt-At)'!$F$7:$F$28</definedName>
    <definedName name="_xlchart.v1.10" hidden="1">'ICT(Pt)'!$L$8:$L$43</definedName>
    <definedName name="_xlchart.v1.2" hidden="1">'ICT(Rt-At)'!$I$5:$N$5</definedName>
    <definedName name="_xlchart.v1.3" hidden="1">'ICT(Rt-At)'!$J$7:$K$61</definedName>
    <definedName name="_xlchart.v1.4" hidden="1">'ICT(Rt-At)'!$M$7:$M$61</definedName>
    <definedName name="_xlchart.v1.5" hidden="1">'ICT(Pt)'!$J$8:$K$43</definedName>
    <definedName name="_xlchart.v1.6" hidden="1">'ICT(Pt)'!$L$7</definedName>
    <definedName name="_xlchart.v1.7" hidden="1">'ICT(Pt)'!$L$8:$L$43</definedName>
    <definedName name="_xlchart.v1.8" hidden="1">'ICT(Pt)'!$J$8:$K$43</definedName>
    <definedName name="_xlchart.v1.9" hidden="1">'ICT(Pt)'!$L$7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41" i="3" l="1"/>
  <c r="O41" i="3" s="1"/>
  <c r="N39" i="3"/>
  <c r="O39" i="3" s="1"/>
  <c r="N38" i="3"/>
  <c r="O38" i="3" s="1"/>
  <c r="N35" i="3"/>
  <c r="O35" i="3" s="1"/>
  <c r="N34" i="3"/>
  <c r="O34" i="3" s="1"/>
  <c r="N30" i="3"/>
  <c r="N28" i="3"/>
  <c r="O28" i="3" s="1"/>
  <c r="N24" i="3"/>
  <c r="O24" i="3" s="1"/>
  <c r="N17" i="3"/>
  <c r="O17" i="3" s="1"/>
  <c r="N8" i="3"/>
  <c r="O8" i="3" s="1"/>
  <c r="E29" i="1"/>
  <c r="O30" i="3" l="1"/>
  <c r="N44" i="3"/>
  <c r="O44" i="3" s="1"/>
  <c r="F7" i="1"/>
  <c r="L62" i="1"/>
  <c r="M8" i="1" s="1"/>
  <c r="P8" i="3" l="1"/>
  <c r="P17" i="3"/>
  <c r="P41" i="3"/>
  <c r="P39" i="3"/>
  <c r="P30" i="3"/>
  <c r="P28" i="3"/>
  <c r="P24" i="3"/>
  <c r="P34" i="3"/>
  <c r="P38" i="3"/>
  <c r="P35" i="3"/>
  <c r="M7" i="1"/>
  <c r="M50" i="1"/>
  <c r="M38" i="1"/>
  <c r="M26" i="1"/>
  <c r="M22" i="1"/>
  <c r="M59" i="1"/>
  <c r="M55" i="1"/>
  <c r="M51" i="1"/>
  <c r="M47" i="1"/>
  <c r="M43" i="1"/>
  <c r="M39" i="1"/>
  <c r="M35" i="1"/>
  <c r="M31" i="1"/>
  <c r="M27" i="1"/>
  <c r="M23" i="1"/>
  <c r="M19" i="1"/>
  <c r="M15" i="1"/>
  <c r="M11" i="1"/>
  <c r="M10" i="1"/>
  <c r="M54" i="1"/>
  <c r="M46" i="1"/>
  <c r="M34" i="1"/>
  <c r="M14" i="1"/>
  <c r="M61" i="1"/>
  <c r="M57" i="1"/>
  <c r="M53" i="1"/>
  <c r="M49" i="1"/>
  <c r="M45" i="1"/>
  <c r="M41" i="1"/>
  <c r="M37" i="1"/>
  <c r="M33" i="1"/>
  <c r="M29" i="1"/>
  <c r="M25" i="1"/>
  <c r="M21" i="1"/>
  <c r="M17" i="1"/>
  <c r="M13" i="1"/>
  <c r="M9" i="1"/>
  <c r="M58" i="1"/>
  <c r="M42" i="1"/>
  <c r="M30" i="1"/>
  <c r="M18" i="1"/>
  <c r="M60" i="1"/>
  <c r="M56" i="1"/>
  <c r="M52" i="1"/>
  <c r="M48" i="1"/>
  <c r="M44" i="1"/>
  <c r="M40" i="1"/>
  <c r="M36" i="1"/>
  <c r="M32" i="1"/>
  <c r="M28" i="1"/>
  <c r="M24" i="1"/>
  <c r="M20" i="1"/>
  <c r="M16" i="1"/>
  <c r="M12" i="1"/>
  <c r="P44" i="3" l="1"/>
  <c r="F23" i="1"/>
  <c r="F25" i="1"/>
  <c r="F18" i="1"/>
  <c r="F11" i="1"/>
  <c r="F27" i="1"/>
  <c r="F8" i="1"/>
  <c r="F28" i="1"/>
  <c r="F14" i="1"/>
  <c r="F12" i="1"/>
  <c r="F22" i="1"/>
  <c r="F15" i="1"/>
  <c r="F16" i="1"/>
  <c r="F17" i="1"/>
  <c r="F21" i="1"/>
  <c r="F9" i="1"/>
  <c r="F26" i="1"/>
  <c r="F19" i="1"/>
  <c r="F13" i="1"/>
  <c r="F24" i="1"/>
  <c r="F20" i="1"/>
  <c r="F10" i="1"/>
  <c r="M62" i="1" l="1"/>
  <c r="F29" i="1"/>
</calcChain>
</file>

<file path=xl/sharedStrings.xml><?xml version="1.0" encoding="utf-8"?>
<sst xmlns="http://schemas.openxmlformats.org/spreadsheetml/2006/main" count="185" uniqueCount="173">
  <si>
    <t>ÍNDICE DE CONCENTRCIÓN TURÍSTICA (PLANTA TURÍSTICA)</t>
  </si>
  <si>
    <t>ÍTEM</t>
  </si>
  <si>
    <t>Pi</t>
  </si>
  <si>
    <t>Destino/Sitio:</t>
  </si>
  <si>
    <t>Hostal</t>
  </si>
  <si>
    <t>Hostería</t>
  </si>
  <si>
    <t>Hotel</t>
  </si>
  <si>
    <t>Hacienda Turística</t>
  </si>
  <si>
    <t>Lodge</t>
  </si>
  <si>
    <t>Resort</t>
  </si>
  <si>
    <t xml:space="preserve">Refugio </t>
  </si>
  <si>
    <t>Campamento Turístico</t>
  </si>
  <si>
    <t>Casa de Huéspedes</t>
  </si>
  <si>
    <t>Restaurante</t>
  </si>
  <si>
    <t>Cafetería</t>
  </si>
  <si>
    <t>Bar</t>
  </si>
  <si>
    <t>Discoteca</t>
  </si>
  <si>
    <t>Establecimientos Móviles</t>
  </si>
  <si>
    <t>Plazas de Comida</t>
  </si>
  <si>
    <t>Servicios de Catering</t>
  </si>
  <si>
    <t>Agencias de Viajes Mayoristas</t>
  </si>
  <si>
    <t>Agencias de Viajes Internacionales</t>
  </si>
  <si>
    <t>Operadores Turísticos</t>
  </si>
  <si>
    <t>Agencias de Viajes Duales</t>
  </si>
  <si>
    <t>Guías Locales</t>
  </si>
  <si>
    <t>Guías Nacionales</t>
  </si>
  <si>
    <t>Guías Nacionales Especializados en Patrimonio Turístico</t>
  </si>
  <si>
    <t>Guías Nacionales Especializados en Aventura</t>
  </si>
  <si>
    <t>Valor Subcategoría</t>
  </si>
  <si>
    <t>CATEGORÍA</t>
  </si>
  <si>
    <t xml:space="preserve">TIPO </t>
  </si>
  <si>
    <t>SUBTIPO</t>
  </si>
  <si>
    <t>JERARQUÍA</t>
  </si>
  <si>
    <t>CANTIDAD</t>
  </si>
  <si>
    <t>PORCENTAJE</t>
  </si>
  <si>
    <t>ATRACTIVOS NATURALES</t>
  </si>
  <si>
    <t>Montaña</t>
  </si>
  <si>
    <t>Alta Montaña</t>
  </si>
  <si>
    <t>Media Montaña</t>
  </si>
  <si>
    <t>Baja Montaña</t>
  </si>
  <si>
    <t>Planicies</t>
  </si>
  <si>
    <t>Llanura</t>
  </si>
  <si>
    <t>Salitre</t>
  </si>
  <si>
    <t>Valle</t>
  </si>
  <si>
    <t>Meseta</t>
  </si>
  <si>
    <t>Desiertos</t>
  </si>
  <si>
    <t>Costero</t>
  </si>
  <si>
    <t>Del Interior</t>
  </si>
  <si>
    <t>Lago</t>
  </si>
  <si>
    <t>Laguna</t>
  </si>
  <si>
    <t>Pantano</t>
  </si>
  <si>
    <t>Poza</t>
  </si>
  <si>
    <t>Humedal</t>
  </si>
  <si>
    <t>Vado</t>
  </si>
  <si>
    <t>Playa de Laguna</t>
  </si>
  <si>
    <t>Ríos</t>
  </si>
  <si>
    <t>Río</t>
  </si>
  <si>
    <t>Riachuelo</t>
  </si>
  <si>
    <t>Rápido</t>
  </si>
  <si>
    <t>Cascada</t>
  </si>
  <si>
    <t>Ribera</t>
  </si>
  <si>
    <t>Playa de Río</t>
  </si>
  <si>
    <t>Delta</t>
  </si>
  <si>
    <t>Bósques</t>
  </si>
  <si>
    <t>Páramo</t>
  </si>
  <si>
    <t>Ceja de Selva</t>
  </si>
  <si>
    <t>Nublado</t>
  </si>
  <si>
    <t>Montano Bajo</t>
  </si>
  <si>
    <t>Húmedo</t>
  </si>
  <si>
    <t>Manglar</t>
  </si>
  <si>
    <t>Seco</t>
  </si>
  <si>
    <t>Petrificado</t>
  </si>
  <si>
    <t>Cueva o Caverna</t>
  </si>
  <si>
    <t>Río Subterráneo</t>
  </si>
  <si>
    <t>Flujo de Lava</t>
  </si>
  <si>
    <t>Tubo de Lava</t>
  </si>
  <si>
    <t>Escarpa de Falla</t>
  </si>
  <si>
    <t>Cañón</t>
  </si>
  <si>
    <t>Quebrada</t>
  </si>
  <si>
    <t>Playa</t>
  </si>
  <si>
    <t>Acantilado</t>
  </si>
  <si>
    <t>Golfo</t>
  </si>
  <si>
    <t>Bahía</t>
  </si>
  <si>
    <t>Costas o Litorales</t>
  </si>
  <si>
    <t>Ensenada</t>
  </si>
  <si>
    <t>Canal</t>
  </si>
  <si>
    <t>Estuario</t>
  </si>
  <si>
    <t>Estero</t>
  </si>
  <si>
    <t>Arrecife de Coral</t>
  </si>
  <si>
    <t>Cráter</t>
  </si>
  <si>
    <t>Isla Continental</t>
  </si>
  <si>
    <t>Isla Oceánica</t>
  </si>
  <si>
    <t>Islote</t>
  </si>
  <si>
    <t>Roca</t>
  </si>
  <si>
    <t>TOTAL ATRACIVOS NATURALES</t>
  </si>
  <si>
    <t>MANIFESTACIONES CULTURALES</t>
  </si>
  <si>
    <t>Arquitectura</t>
  </si>
  <si>
    <t>Historia (civíl, religiosa, militar, vernácula)</t>
  </si>
  <si>
    <t>Museos</t>
  </si>
  <si>
    <t>Monumentos</t>
  </si>
  <si>
    <t>Espacio Público</t>
  </si>
  <si>
    <t>Área Histórica</t>
  </si>
  <si>
    <t>Pueblo y/o nacionalidad (etnografía)</t>
  </si>
  <si>
    <t>Fiestas religiosas, tradicionales y creencias populares</t>
  </si>
  <si>
    <t>Artesanías y artes</t>
  </si>
  <si>
    <t>Medicina Ancestral</t>
  </si>
  <si>
    <t>Ferias y mercados</t>
  </si>
  <si>
    <t>Música y danza</t>
  </si>
  <si>
    <t>Gastronomía</t>
  </si>
  <si>
    <t>Folklore</t>
  </si>
  <si>
    <t>Realizaciones Técnicas y Científicas</t>
  </si>
  <si>
    <t>Obras de Ingeniería</t>
  </si>
  <si>
    <t>Centros de exhibición de flora y fauna</t>
  </si>
  <si>
    <t>Explotaciones agropecuarias y pesqueras</t>
  </si>
  <si>
    <t>Explotaciones Industriales</t>
  </si>
  <si>
    <t>Acontecimientos Programados</t>
  </si>
  <si>
    <t>Eventos Artísticos</t>
  </si>
  <si>
    <t>Convenciones, ferias (no artesanales) y congresos</t>
  </si>
  <si>
    <t>Eventos deportivos</t>
  </si>
  <si>
    <t>Eventos Gastronómicos</t>
  </si>
  <si>
    <t>TOTAL MANIFESTACIONES CULTURALES</t>
  </si>
  <si>
    <t>ÍNDICE DE CONCENTRACIÓN TURÍSTICA ATRACTIVOS TURÍSTICOS "MANIFESTACIONES CULTURALES"</t>
  </si>
  <si>
    <t>ÍNDICE DE CONCENTRACIÓN TURÍSTICA ATRACTIVOS TURÍSTICOS "NATURALES"</t>
  </si>
  <si>
    <r>
      <t xml:space="preserve">Fuente: </t>
    </r>
    <r>
      <rPr>
        <sz val="11"/>
        <color theme="1"/>
        <rFont val="Calibri"/>
        <family val="2"/>
        <scheme val="minor"/>
      </rPr>
      <t>Illingworth; 2011</t>
    </r>
  </si>
  <si>
    <t>Ciudad Histórica y/o Patrimonial</t>
  </si>
  <si>
    <t>Área Patrimonial y/o Arqueológica</t>
  </si>
  <si>
    <t>Fenómenos
Espeleológicos</t>
  </si>
  <si>
    <t>Ambientes
 Marinos</t>
  </si>
  <si>
    <t>Ambientes
Lacústres</t>
  </si>
  <si>
    <t>Aguas
Subterráneas</t>
  </si>
  <si>
    <t>Manantial Agua Mineral</t>
  </si>
  <si>
    <t>Manantial Agua Termal</t>
  </si>
  <si>
    <t>Tierras
Insulares</t>
  </si>
  <si>
    <t>Sector</t>
  </si>
  <si>
    <t>Categoría</t>
  </si>
  <si>
    <t>Subtotal IT</t>
  </si>
  <si>
    <t>Intermediación
Turística (IT)</t>
  </si>
  <si>
    <t>Subtotal TT</t>
  </si>
  <si>
    <t>Transportación
Turística (TT)</t>
  </si>
  <si>
    <t>Subtotal GT</t>
  </si>
  <si>
    <t>Subtotal RS</t>
  </si>
  <si>
    <t>Restauración
(RS)</t>
  </si>
  <si>
    <t>Subtotal AL</t>
  </si>
  <si>
    <t>Alojamiento
(AL)</t>
  </si>
  <si>
    <t>Guianza
Turística (GT)</t>
  </si>
  <si>
    <t>Transportación Turística Fluvial</t>
  </si>
  <si>
    <t>Transportación Turística Terrestre</t>
  </si>
  <si>
    <t>Centros de Turismo Comunitario (CTC)</t>
  </si>
  <si>
    <t>Centros de Convenciones</t>
  </si>
  <si>
    <t>Sala de Recepciones</t>
  </si>
  <si>
    <t>Salas de Banquetes</t>
  </si>
  <si>
    <t>Centros de convenciones, salas de recepciones y salas de banquetes (CC).</t>
  </si>
  <si>
    <t>Organizadores de Eventos, congresos y convenciones, reuniones, incentivos, conferencias, ferias y exhibiciones. (OE)</t>
  </si>
  <si>
    <t>Parques Temáticos</t>
  </si>
  <si>
    <t>Atracciones Permanentes</t>
  </si>
  <si>
    <t>Parques Temáticos y Atracciones (PA)</t>
  </si>
  <si>
    <t>Balnearios, termas y centros de recreación turística. (BTC)</t>
  </si>
  <si>
    <t>Balnearios</t>
  </si>
  <si>
    <t>Termas</t>
  </si>
  <si>
    <t>Centros de Recreación Turística</t>
  </si>
  <si>
    <t>Subtotal OE</t>
  </si>
  <si>
    <t>Subtotal CC</t>
  </si>
  <si>
    <t>Subtotal CTC</t>
  </si>
  <si>
    <t>Subtotal PA</t>
  </si>
  <si>
    <t>Subtotal BTC</t>
  </si>
  <si>
    <t>Centros de Turismo Comunitario</t>
  </si>
  <si>
    <t>Organizadores de eventos registrados</t>
  </si>
  <si>
    <t>ICT</t>
  </si>
  <si>
    <t>Sitio/Territorio</t>
  </si>
  <si>
    <r>
      <rPr>
        <b/>
        <sz val="11"/>
        <color theme="1"/>
        <rFont val="Calibri"/>
        <family val="2"/>
        <scheme val="minor"/>
      </rPr>
      <t>Elaborado por:</t>
    </r>
    <r>
      <rPr>
        <sz val="11"/>
        <color theme="1"/>
        <rFont val="Calibri"/>
        <family val="2"/>
        <scheme val="minor"/>
      </rPr>
      <t xml:space="preserve"> Lic. Numa Sebastián Calle Lituma, Esp. Mg. MBA. PhD. y Lic. Ronal Edison Chaca Espinoza, Mg. PhD.</t>
    </r>
  </si>
  <si>
    <t>Sia</t>
  </si>
  <si>
    <t>TOTAL DESTINO (SId)</t>
  </si>
  <si>
    <t>Valor 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</si>
</sst>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91C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8F3737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0" fillId="2" borderId="0" xfId="0" applyFill="1" applyAlignment="1" applyProtection="1">
      <alignment horizontal="left"/>
      <protection locked="0"/>
    </xf>
    <xf numFmtId="0" fontId="0" fillId="2" borderId="0" xfId="0" applyFill="1" applyProtection="1">
      <protection locked="0"/>
    </xf>
    <xf numFmtId="0" fontId="3" fillId="2" borderId="0" xfId="0" applyFont="1" applyFill="1" applyAlignment="1" applyProtection="1">
      <alignment horizontal="left"/>
      <protection locked="0"/>
    </xf>
    <xf numFmtId="0" fontId="3" fillId="2" borderId="0" xfId="0" applyFont="1" applyFill="1" applyProtection="1">
      <protection locked="0"/>
    </xf>
    <xf numFmtId="0" fontId="0" fillId="2" borderId="4" xfId="0" applyFill="1" applyBorder="1" applyProtection="1">
      <protection locked="0"/>
    </xf>
    <xf numFmtId="0" fontId="0" fillId="2" borderId="10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2" borderId="12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2" borderId="13" xfId="0" applyFill="1" applyBorder="1" applyProtection="1">
      <protection locked="0"/>
    </xf>
    <xf numFmtId="0" fontId="0" fillId="2" borderId="0" xfId="0" applyFill="1" applyAlignment="1" applyProtection="1">
      <alignment wrapText="1"/>
      <protection locked="0"/>
    </xf>
    <xf numFmtId="0" fontId="0" fillId="2" borderId="0" xfId="0" applyFill="1"/>
    <xf numFmtId="10" fontId="0" fillId="2" borderId="6" xfId="1" applyNumberFormat="1" applyFont="1" applyFill="1" applyBorder="1" applyAlignment="1" applyProtection="1">
      <alignment horizontal="center" vertical="center"/>
    </xf>
    <xf numFmtId="0" fontId="3" fillId="2" borderId="0" xfId="0" applyFont="1" applyFill="1" applyAlignment="1" applyProtection="1">
      <alignment vertical="center" wrapText="1"/>
      <protection locked="0"/>
    </xf>
    <xf numFmtId="0" fontId="0" fillId="2" borderId="0" xfId="0" applyFill="1" applyAlignment="1" applyProtection="1">
      <alignment vertical="center" wrapText="1"/>
      <protection locked="0"/>
    </xf>
    <xf numFmtId="10" fontId="0" fillId="2" borderId="0" xfId="1" applyNumberFormat="1" applyFont="1" applyFill="1" applyBorder="1" applyProtection="1">
      <protection locked="0"/>
    </xf>
    <xf numFmtId="0" fontId="0" fillId="2" borderId="16" xfId="0" applyFill="1" applyBorder="1" applyProtection="1">
      <protection locked="0"/>
    </xf>
    <xf numFmtId="0" fontId="0" fillId="2" borderId="4" xfId="0" applyFill="1" applyBorder="1"/>
    <xf numFmtId="0" fontId="0" fillId="2" borderId="1" xfId="0" applyFill="1" applyBorder="1"/>
    <xf numFmtId="0" fontId="0" fillId="2" borderId="3" xfId="0" applyFill="1" applyBorder="1"/>
    <xf numFmtId="10" fontId="0" fillId="2" borderId="4" xfId="1" applyNumberFormat="1" applyFont="1" applyFill="1" applyBorder="1" applyProtection="1"/>
    <xf numFmtId="10" fontId="0" fillId="2" borderId="1" xfId="1" applyNumberFormat="1" applyFont="1" applyFill="1" applyBorder="1" applyProtection="1"/>
    <xf numFmtId="10" fontId="0" fillId="2" borderId="3" xfId="1" applyNumberFormat="1" applyFont="1" applyFill="1" applyBorder="1" applyProtection="1"/>
    <xf numFmtId="0" fontId="0" fillId="2" borderId="15" xfId="0" applyFill="1" applyBorder="1"/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24" xfId="0" applyFill="1" applyBorder="1" applyAlignment="1" applyProtection="1">
      <alignment horizontal="center"/>
      <protection locked="0"/>
    </xf>
    <xf numFmtId="0" fontId="0" fillId="2" borderId="25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10" fontId="0" fillId="2" borderId="4" xfId="1" applyNumberFormat="1" applyFont="1" applyFill="1" applyBorder="1" applyAlignment="1" applyProtection="1">
      <alignment horizontal="center" vertical="center"/>
    </xf>
    <xf numFmtId="10" fontId="0" fillId="2" borderId="28" xfId="1" applyNumberFormat="1" applyFont="1" applyFill="1" applyBorder="1" applyAlignment="1" applyProtection="1">
      <alignment horizontal="center" vertical="center"/>
    </xf>
    <xf numFmtId="0" fontId="0" fillId="2" borderId="25" xfId="0" applyFill="1" applyBorder="1" applyAlignment="1" applyProtection="1">
      <alignment horizontal="center" vertical="center"/>
      <protection locked="0"/>
    </xf>
    <xf numFmtId="10" fontId="4" fillId="15" borderId="6" xfId="1" applyNumberFormat="1" applyFont="1" applyFill="1" applyBorder="1" applyAlignment="1" applyProtection="1">
      <alignment horizontal="center" vertical="center"/>
    </xf>
    <xf numFmtId="0" fontId="0" fillId="15" borderId="18" xfId="0" applyFill="1" applyBorder="1" applyProtection="1">
      <protection locked="0"/>
    </xf>
    <xf numFmtId="0" fontId="2" fillId="15" borderId="2" xfId="0" applyFont="1" applyFill="1" applyBorder="1" applyAlignment="1" applyProtection="1">
      <alignment horizontal="center" vertical="center"/>
      <protection locked="0"/>
    </xf>
    <xf numFmtId="0" fontId="2" fillId="16" borderId="7" xfId="0" applyFont="1" applyFill="1" applyBorder="1"/>
    <xf numFmtId="0" fontId="2" fillId="16" borderId="17" xfId="0" applyFont="1" applyFill="1" applyBorder="1" applyAlignment="1">
      <alignment horizontal="center"/>
    </xf>
    <xf numFmtId="0" fontId="2" fillId="16" borderId="17" xfId="0" applyFont="1" applyFill="1" applyBorder="1"/>
    <xf numFmtId="0" fontId="2" fillId="16" borderId="2" xfId="0" applyFont="1" applyFill="1" applyBorder="1" applyAlignment="1">
      <alignment horizontal="center" vertical="center"/>
    </xf>
    <xf numFmtId="10" fontId="2" fillId="16" borderId="2" xfId="0" applyNumberFormat="1" applyFont="1" applyFill="1" applyBorder="1" applyAlignment="1">
      <alignment horizontal="center" vertical="center"/>
    </xf>
    <xf numFmtId="0" fontId="2" fillId="16" borderId="17" xfId="0" applyFont="1" applyFill="1" applyBorder="1" applyAlignment="1">
      <alignment horizontal="center" vertical="center"/>
    </xf>
    <xf numFmtId="0" fontId="2" fillId="16" borderId="18" xfId="0" applyFont="1" applyFill="1" applyBorder="1" applyAlignment="1">
      <alignment horizontal="center" vertical="center"/>
    </xf>
    <xf numFmtId="2" fontId="4" fillId="15" borderId="5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2" fontId="0" fillId="2" borderId="5" xfId="0" applyNumberForma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/>
    </xf>
    <xf numFmtId="0" fontId="2" fillId="15" borderId="23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 wrapText="1"/>
    </xf>
    <xf numFmtId="0" fontId="4" fillId="15" borderId="8" xfId="0" applyFont="1" applyFill="1" applyBorder="1" applyAlignment="1">
      <alignment horizontal="center"/>
    </xf>
    <xf numFmtId="0" fontId="2" fillId="16" borderId="7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16" borderId="18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15" borderId="7" xfId="0" applyFont="1" applyFill="1" applyBorder="1" applyAlignment="1">
      <alignment horizontal="center" vertical="center"/>
    </xf>
    <xf numFmtId="0" fontId="2" fillId="15" borderId="17" xfId="0" applyFont="1" applyFill="1" applyBorder="1" applyAlignment="1">
      <alignment horizontal="center" vertical="center"/>
    </xf>
    <xf numFmtId="0" fontId="2" fillId="15" borderId="1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0" fillId="2" borderId="0" xfId="0" applyFill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2" fillId="15" borderId="32" xfId="0" applyFont="1" applyFill="1" applyBorder="1" applyAlignment="1">
      <alignment horizontal="center" vertical="center" wrapText="1"/>
    </xf>
    <xf numFmtId="0" fontId="2" fillId="15" borderId="33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  <protection locked="0"/>
    </xf>
    <xf numFmtId="0" fontId="2" fillId="15" borderId="32" xfId="0" applyFont="1" applyFill="1" applyBorder="1" applyAlignment="1">
      <alignment horizontal="center" vertical="center"/>
    </xf>
    <xf numFmtId="0" fontId="2" fillId="15" borderId="33" xfId="0" applyFont="1" applyFill="1" applyBorder="1" applyAlignment="1">
      <alignment horizontal="center" vertical="center"/>
    </xf>
    <xf numFmtId="0" fontId="2" fillId="15" borderId="23" xfId="0" applyFont="1" applyFill="1" applyBorder="1" applyAlignment="1">
      <alignment horizontal="center" vertical="center"/>
    </xf>
    <xf numFmtId="0" fontId="2" fillId="15" borderId="25" xfId="0" applyFont="1" applyFill="1" applyBorder="1" applyAlignment="1">
      <alignment horizontal="center" vertical="center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42" xfId="0" applyFill="1" applyBorder="1" applyAlignment="1" applyProtection="1">
      <alignment horizontal="center" vertical="center"/>
      <protection locked="0"/>
    </xf>
    <xf numFmtId="0" fontId="0" fillId="2" borderId="25" xfId="0" applyFill="1" applyBorder="1" applyAlignment="1" applyProtection="1">
      <alignment horizontal="center" vertical="center"/>
      <protection locked="0"/>
    </xf>
    <xf numFmtId="0" fontId="0" fillId="2" borderId="26" xfId="0" applyFill="1" applyBorder="1" applyAlignment="1" applyProtection="1">
      <alignment horizontal="center" vertical="center"/>
      <protection locked="0"/>
    </xf>
    <xf numFmtId="0" fontId="0" fillId="2" borderId="17" xfId="0" applyFill="1" applyBorder="1" applyAlignment="1" applyProtection="1">
      <alignment horizontal="center" vertical="center" wrapText="1"/>
      <protection locked="0"/>
    </xf>
    <xf numFmtId="0" fontId="0" fillId="2" borderId="18" xfId="0" applyFill="1" applyBorder="1" applyAlignment="1" applyProtection="1">
      <alignment horizontal="center" vertical="center" wrapText="1"/>
      <protection locked="0"/>
    </xf>
    <xf numFmtId="0" fontId="4" fillId="15" borderId="7" xfId="0" applyFont="1" applyFill="1" applyBorder="1" applyAlignment="1">
      <alignment horizontal="center"/>
    </xf>
    <xf numFmtId="0" fontId="4" fillId="15" borderId="17" xfId="0" applyFont="1" applyFill="1" applyBorder="1" applyAlignment="1">
      <alignment horizontal="center"/>
    </xf>
    <xf numFmtId="0" fontId="4" fillId="15" borderId="8" xfId="0" applyFont="1" applyFill="1" applyBorder="1" applyAlignment="1">
      <alignment horizontal="center"/>
    </xf>
    <xf numFmtId="0" fontId="2" fillId="15" borderId="2" xfId="0" applyFont="1" applyFill="1" applyBorder="1" applyAlignment="1">
      <alignment vertical="center"/>
    </xf>
    <xf numFmtId="0" fontId="2" fillId="15" borderId="7" xfId="0" applyFont="1" applyFill="1" applyBorder="1" applyAlignment="1" applyProtection="1">
      <alignment horizontal="center" vertical="center"/>
      <protection locked="0"/>
    </xf>
    <xf numFmtId="0" fontId="2" fillId="15" borderId="17" xfId="0" applyFont="1" applyFill="1" applyBorder="1" applyAlignment="1" applyProtection="1">
      <alignment horizontal="center" vertical="center"/>
      <protection locked="0"/>
    </xf>
    <xf numFmtId="0" fontId="2" fillId="15" borderId="18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10" borderId="18" xfId="0" applyFont="1" applyFill="1" applyBorder="1" applyAlignment="1">
      <alignment horizontal="center" vertical="center"/>
    </xf>
    <xf numFmtId="0" fontId="2" fillId="14" borderId="26" xfId="0" applyFont="1" applyFill="1" applyBorder="1" applyAlignment="1">
      <alignment horizontal="center" vertical="center" wrapText="1"/>
    </xf>
    <xf numFmtId="0" fontId="0" fillId="2" borderId="29" xfId="0" applyFill="1" applyBorder="1" applyAlignment="1" applyProtection="1">
      <alignment horizontal="center" vertical="center" wrapText="1"/>
      <protection locked="0"/>
    </xf>
    <xf numFmtId="0" fontId="0" fillId="2" borderId="23" xfId="0" applyFill="1" applyBorder="1" applyAlignment="1" applyProtection="1">
      <alignment horizontal="center" vertical="center" wrapText="1"/>
      <protection locked="0"/>
    </xf>
    <xf numFmtId="0" fontId="0" fillId="2" borderId="42" xfId="0" applyFill="1" applyBorder="1" applyAlignment="1" applyProtection="1">
      <alignment horizontal="center" vertical="center" wrapText="1"/>
      <protection locked="0"/>
    </xf>
    <xf numFmtId="0" fontId="0" fillId="2" borderId="31" xfId="0" applyFill="1" applyBorder="1" applyAlignment="1" applyProtection="1">
      <alignment horizontal="center" vertical="center" wrapText="1"/>
      <protection locked="0"/>
    </xf>
    <xf numFmtId="0" fontId="0" fillId="2" borderId="25" xfId="0" applyFill="1" applyBorder="1" applyAlignment="1" applyProtection="1">
      <alignment horizontal="center" vertical="center" wrapText="1"/>
      <protection locked="0"/>
    </xf>
    <xf numFmtId="0" fontId="0" fillId="2" borderId="26" xfId="0" applyFill="1" applyBorder="1" applyAlignment="1" applyProtection="1">
      <alignment horizontal="center" vertical="center" wrapText="1"/>
      <protection locked="0"/>
    </xf>
    <xf numFmtId="0" fontId="5" fillId="13" borderId="29" xfId="0" applyFont="1" applyFill="1" applyBorder="1" applyAlignment="1">
      <alignment horizontal="center" vertical="center" wrapText="1"/>
    </xf>
    <xf numFmtId="0" fontId="5" fillId="13" borderId="30" xfId="0" applyFont="1" applyFill="1" applyBorder="1" applyAlignment="1">
      <alignment horizontal="center" vertical="center"/>
    </xf>
    <xf numFmtId="0" fontId="5" fillId="13" borderId="31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 wrapText="1"/>
    </xf>
    <xf numFmtId="0" fontId="5" fillId="5" borderId="36" xfId="0" applyFont="1" applyFill="1" applyBorder="1" applyAlignment="1">
      <alignment horizontal="center" vertical="center"/>
    </xf>
    <xf numFmtId="0" fontId="5" fillId="5" borderId="37" xfId="0" applyFont="1" applyFill="1" applyBorder="1" applyAlignment="1">
      <alignment horizontal="center" vertical="center"/>
    </xf>
    <xf numFmtId="0" fontId="5" fillId="11" borderId="35" xfId="0" applyFont="1" applyFill="1" applyBorder="1" applyAlignment="1">
      <alignment horizontal="center" wrapText="1"/>
    </xf>
    <xf numFmtId="0" fontId="5" fillId="11" borderId="37" xfId="0" applyFont="1" applyFill="1" applyBorder="1" applyAlignment="1">
      <alignment horizontal="center"/>
    </xf>
    <xf numFmtId="0" fontId="5" fillId="7" borderId="32" xfId="0" applyFont="1" applyFill="1" applyBorder="1" applyAlignment="1">
      <alignment horizontal="center" vertical="center" wrapText="1"/>
    </xf>
    <xf numFmtId="0" fontId="5" fillId="7" borderId="34" xfId="0" applyFont="1" applyFill="1" applyBorder="1" applyAlignment="1">
      <alignment horizontal="center" vertical="center"/>
    </xf>
    <xf numFmtId="0" fontId="5" fillId="7" borderId="33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 wrapText="1"/>
    </xf>
    <xf numFmtId="0" fontId="5" fillId="6" borderId="29" xfId="0" applyFont="1" applyFill="1" applyBorder="1" applyAlignment="1">
      <alignment horizontal="center" vertical="center" wrapText="1"/>
    </xf>
    <xf numFmtId="0" fontId="5" fillId="6" borderId="30" xfId="0" applyFont="1" applyFill="1" applyBorder="1" applyAlignment="1">
      <alignment horizontal="center" vertical="center" wrapText="1"/>
    </xf>
    <xf numFmtId="0" fontId="5" fillId="6" borderId="31" xfId="0" applyFont="1" applyFill="1" applyBorder="1" applyAlignment="1">
      <alignment horizontal="center" vertical="center" wrapText="1"/>
    </xf>
    <xf numFmtId="0" fontId="5" fillId="9" borderId="30" xfId="0" applyFont="1" applyFill="1" applyBorder="1" applyAlignment="1">
      <alignment horizontal="center" vertical="center" wrapText="1"/>
    </xf>
    <xf numFmtId="0" fontId="5" fillId="12" borderId="29" xfId="0" applyFont="1" applyFill="1" applyBorder="1" applyAlignment="1">
      <alignment horizontal="center" vertical="center" wrapText="1"/>
    </xf>
    <xf numFmtId="0" fontId="5" fillId="12" borderId="31" xfId="0" applyFont="1" applyFill="1" applyBorder="1" applyAlignment="1">
      <alignment horizontal="center" vertical="center" wrapText="1"/>
    </xf>
    <xf numFmtId="0" fontId="5" fillId="4" borderId="29" xfId="0" applyFont="1" applyFill="1" applyBorder="1" applyAlignment="1">
      <alignment horizontal="center" vertical="center" wrapText="1"/>
    </xf>
    <xf numFmtId="0" fontId="5" fillId="4" borderId="30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0" fontId="6" fillId="2" borderId="35" xfId="0" applyFont="1" applyFill="1" applyBorder="1"/>
    <xf numFmtId="0" fontId="6" fillId="2" borderId="35" xfId="0" applyFont="1" applyFill="1" applyBorder="1" applyAlignment="1" applyProtection="1">
      <alignment horizontal="center" vertical="center"/>
      <protection locked="0"/>
    </xf>
    <xf numFmtId="0" fontId="6" fillId="2" borderId="36" xfId="0" applyFont="1" applyFill="1" applyBorder="1"/>
    <xf numFmtId="0" fontId="6" fillId="2" borderId="36" xfId="0" applyFont="1" applyFill="1" applyBorder="1" applyAlignment="1" applyProtection="1">
      <alignment horizontal="center" vertical="center"/>
      <protection locked="0"/>
    </xf>
    <xf numFmtId="0" fontId="6" fillId="2" borderId="37" xfId="0" applyFont="1" applyFill="1" applyBorder="1"/>
    <xf numFmtId="0" fontId="6" fillId="2" borderId="37" xfId="0" applyFont="1" applyFill="1" applyBorder="1" applyAlignment="1" applyProtection="1">
      <alignment horizontal="center" vertical="center"/>
      <protection locked="0"/>
    </xf>
    <xf numFmtId="0" fontId="6" fillId="2" borderId="38" xfId="0" applyFont="1" applyFill="1" applyBorder="1"/>
    <xf numFmtId="0" fontId="6" fillId="2" borderId="39" xfId="0" applyFont="1" applyFill="1" applyBorder="1"/>
    <xf numFmtId="0" fontId="6" fillId="2" borderId="40" xfId="0" applyFont="1" applyFill="1" applyBorder="1"/>
    <xf numFmtId="0" fontId="6" fillId="2" borderId="39" xfId="0" applyFont="1" applyFill="1" applyBorder="1" applyAlignment="1">
      <alignment wrapText="1"/>
    </xf>
    <xf numFmtId="0" fontId="6" fillId="2" borderId="40" xfId="0" applyFont="1" applyFill="1" applyBorder="1" applyAlignment="1">
      <alignment wrapText="1"/>
    </xf>
    <xf numFmtId="0" fontId="6" fillId="2" borderId="41" xfId="0" applyFont="1" applyFill="1" applyBorder="1" applyAlignment="1">
      <alignment horizontal="left" vertical="center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44" xfId="0" applyFont="1" applyFill="1" applyBorder="1"/>
    <xf numFmtId="0" fontId="6" fillId="2" borderId="32" xfId="0" applyFont="1" applyFill="1" applyBorder="1" applyAlignment="1" applyProtection="1">
      <alignment horizontal="center" vertical="center"/>
      <protection locked="0"/>
    </xf>
    <xf numFmtId="0" fontId="6" fillId="2" borderId="43" xfId="0" applyFont="1" applyFill="1" applyBorder="1"/>
    <xf numFmtId="0" fontId="6" fillId="2" borderId="45" xfId="0" applyFont="1" applyFill="1" applyBorder="1"/>
    <xf numFmtId="0" fontId="6" fillId="2" borderId="33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6" fillId="2" borderId="48" xfId="0" applyFont="1" applyFill="1" applyBorder="1"/>
    <xf numFmtId="0" fontId="6" fillId="2" borderId="32" xfId="0" applyFont="1" applyFill="1" applyBorder="1" applyAlignment="1" applyProtection="1">
      <alignment horizontal="center" vertical="center" wrapText="1"/>
      <protection locked="0"/>
    </xf>
    <xf numFmtId="0" fontId="6" fillId="2" borderId="47" xfId="0" applyFont="1" applyFill="1" applyBorder="1"/>
    <xf numFmtId="0" fontId="6" fillId="2" borderId="37" xfId="0" applyFont="1" applyFill="1" applyBorder="1" applyAlignment="1" applyProtection="1">
      <alignment horizontal="center" vertical="center" wrapText="1"/>
      <protection locked="0"/>
    </xf>
    <xf numFmtId="0" fontId="6" fillId="2" borderId="46" xfId="0" applyFont="1" applyFill="1" applyBorder="1"/>
    <xf numFmtId="0" fontId="3" fillId="2" borderId="0" xfId="0" applyFont="1" applyFill="1" applyAlignment="1" applyProtection="1">
      <protection locked="0"/>
    </xf>
    <xf numFmtId="0" fontId="0" fillId="2" borderId="0" xfId="0" applyFill="1" applyAlignment="1" applyProtection="1">
      <alignment horizontal="left"/>
      <protection locked="0"/>
    </xf>
  </cellXfs>
  <cellStyles count="2"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 xr9:uid="{E783AC68-258E-420A-9F7F-8CD46366D6E1}"/>
  </tableStyles>
  <colors>
    <mruColors>
      <color rgb="FF660066"/>
      <color rgb="FF8F3737"/>
      <color rgb="FF0091C4"/>
      <color rgb="FF8ADF3D"/>
      <color rgb="FFE676CE"/>
      <color rgb="FF0057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0.10432034556566037"/>
          <c:y val="0.12728936178007955"/>
          <c:w val="0.78281682501864391"/>
          <c:h val="0.69841429217767481"/>
        </c:manualLayout>
      </c:layout>
      <c:doughnutChart>
        <c:varyColors val="1"/>
        <c:ser>
          <c:idx val="0"/>
          <c:order val="0"/>
          <c:tx>
            <c:strRef>
              <c:f>'ICT(Pt)'!$J$4:$P$4</c:f>
              <c:strCache>
                <c:ptCount val="1"/>
                <c:pt idx="0">
                  <c:v>ÍNDICE DE CONCENTRCIÓN TURÍSTICA (PLANTA TURÍSTICA)</c:v>
                </c:pt>
              </c:strCache>
            </c:strRef>
          </c:tx>
          <c:spPr>
            <a:scene3d>
              <a:camera prst="orthographicFront"/>
              <a:lightRig rig="brightRoom" dir="t"/>
            </a:scene3d>
            <a:sp3d prstMaterial="flat">
              <a:bevelT w="50800" h="101600" prst="softRound"/>
              <a:contourClr>
                <a:srgbClr val="000000"/>
              </a:contourClr>
            </a:sp3d>
          </c:spPr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softRound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02B0-4805-B966-A54646089B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softRound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B0-4805-B966-A54646089BEE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softRound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02B0-4805-B966-A54646089B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softRound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2B0-4805-B966-A54646089BEE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softRound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02B0-4805-B966-A54646089BEE}"/>
              </c:ext>
            </c:extLst>
          </c:dPt>
          <c:dPt>
            <c:idx val="5"/>
            <c:bubble3D val="0"/>
            <c:spPr>
              <a:solidFill>
                <a:srgbClr val="8F3737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softRound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6C69-44AB-AA6E-E06FDA7318D1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softRound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C69-44AB-AA6E-E06FDA7318D1}"/>
              </c:ext>
            </c:extLst>
          </c:dPt>
          <c:dPt>
            <c:idx val="7"/>
            <c:bubble3D val="0"/>
            <c:spPr>
              <a:solidFill>
                <a:srgbClr val="66006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softRound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6C69-44AB-AA6E-E06FDA7318D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softRound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429-4A3F-87F9-12EB12FB200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softRound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429-4A3F-87F9-12EB12FB200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('ICT(Pt)'!$M$8,'ICT(Pt)'!$M$17,'ICT(Pt)'!$M$24,'ICT(Pt)'!$M$28,'ICT(Pt)'!$M$30,'ICT(Pt)'!$M$34,'ICT(Pt)'!$M$35,'ICT(Pt)'!$M$38,'ICT(Pt)'!$M$39,'ICT(Pt)'!$M$41)</c:f>
              <c:strCache>
                <c:ptCount val="10"/>
                <c:pt idx="0">
                  <c:v>Subtotal AL</c:v>
                </c:pt>
                <c:pt idx="1">
                  <c:v>Subtotal RS</c:v>
                </c:pt>
                <c:pt idx="2">
                  <c:v>Subtotal IT</c:v>
                </c:pt>
                <c:pt idx="3">
                  <c:v>Subtotal TT</c:v>
                </c:pt>
                <c:pt idx="4">
                  <c:v>Subtotal GT</c:v>
                </c:pt>
                <c:pt idx="5">
                  <c:v>Subtotal OE</c:v>
                </c:pt>
                <c:pt idx="6">
                  <c:v>Subtotal CC</c:v>
                </c:pt>
                <c:pt idx="7">
                  <c:v>Subtotal CTC</c:v>
                </c:pt>
                <c:pt idx="8">
                  <c:v>Subtotal PA</c:v>
                </c:pt>
                <c:pt idx="9">
                  <c:v>Subtotal BTC</c:v>
                </c:pt>
              </c:strCache>
            </c:strRef>
          </c:cat>
          <c:val>
            <c:numRef>
              <c:f>('ICT(Pt)'!$P$8,'ICT(Pt)'!$P$17,'ICT(Pt)'!$P$24,'ICT(Pt)'!$P$28,'ICT(Pt)'!$P$30,'ICT(Pt)'!$P$34,'ICT(Pt)'!$P$35,'ICT(Pt)'!$P$38,'ICT(Pt)'!$P$39,'ICT(Pt)'!$P$41)</c:f>
              <c:numCache>
                <c:formatCode>0.00%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B0-4805-B966-A54646089BE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9"/>
        <c:holeSize val="36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9665862800360285E-2"/>
          <c:y val="0.87050392659525599"/>
          <c:w val="0.87677432353869988"/>
          <c:h val="6.2624384062868757E-2"/>
        </c:manualLayout>
      </c:layout>
      <c:overlay val="1"/>
      <c:spPr>
        <a:noFill/>
        <a:ln>
          <a:noFill/>
        </a:ln>
        <a:effectLst>
          <a:glow rad="127000">
            <a:schemeClr val="accent1">
              <a:alpha val="98000"/>
            </a:schemeClr>
          </a:glow>
          <a:outerShdw blurRad="50800" dist="50800" dir="5400000" algn="ctr" rotWithShape="0">
            <a:srgbClr val="000000">
              <a:alpha val="99000"/>
            </a:srgb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ÍNDICE DE CONCENTRACIÓN ATRACTIVOS TURÍSTICOS CULTURALES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r>
            <a:rPr lang="en-US" sz="1600" b="1" i="0" u="none" strike="noStrike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ÍNDICE DE CONCENTRACIÓN ATRACTIVOS TURÍSTICOS CULTURALES</a:t>
          </a:r>
        </a:p>
      </cx:txPr>
    </cx:title>
    <cx:plotArea>
      <cx:plotAreaRegion>
        <cx:plotSurface>
          <cx:spPr>
            <a:noFill/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x:spPr>
        </cx:plotSurface>
        <cx:series layoutId="sunburst" uniqueId="{00000000-7FF8-4C87-86A6-DBE6F4211A21}">
          <cx:spPr>
            <a:ln>
              <a:solidFill>
                <a:schemeClr val="tx1"/>
              </a:solidFill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x:spPr>
          <cx:dataLabels/>
          <cx:dataId val="0"/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_xlchart.v1.4</cx:f>
      </cx:numDim>
    </cx:data>
  </cx:chartData>
  <cx:chart>
    <cx:title pos="t" align="ctr" overlay="0">
      <cx:tx>
        <cx:txData>
          <cx:v>ÍNDICE DE CONCENTRACIÓN ATRACTIVOS TURÍSTICOS NATURALES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r>
            <a:rPr lang="en-US" sz="1600" b="1" i="0" u="none" strike="noStrike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ÍNDICE DE CONCENTRACIÓN ATRACTIVOS TURÍSTICOS NATURALES</a:t>
          </a:r>
        </a:p>
      </cx:txPr>
    </cx:title>
    <cx:plotArea>
      <cx:plotAreaRegion>
        <cx:series layoutId="sunburst" uniqueId="{00000000-297E-458C-B498-A729FECD7E72}">
          <cx:spPr>
            <a:ln>
              <a:solidFill>
                <a:schemeClr val="tx1"/>
              </a:solidFill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x:spPr>
          <cx:dataLabels/>
          <cx:dataId val="0"/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size">
        <cx:f>_xlchart.v1.7</cx:f>
      </cx:numDim>
    </cx:data>
  </cx:chartData>
  <cx:chart>
    <cx:title pos="t" align="ctr" overlay="0">
      <cx:tx>
        <cx:txData>
          <cx:v>Configuración Prestadores de Servicios Turísticos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s-E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Configuración Prestadores de Servicios Turísticos</a:t>
          </a:r>
        </a:p>
      </cx:txPr>
    </cx:title>
    <cx:plotArea>
      <cx:plotAreaRegion>
        <cx:series layoutId="treemap" uniqueId="{8D945569-6AB0-4321-9CAC-2B24C4F74088}">
          <cx:tx>
            <cx:txData>
              <cx:f>_xlchart.v1.6</cx:f>
              <cx:v>Valor Subcategoría</cx:v>
            </cx:txData>
          </cx:tx>
          <cx:dataPt idx="1">
            <cx:spPr>
              <a:solidFill>
                <a:srgbClr val="44546A"/>
              </a:solidFill>
            </cx:spPr>
          </cx:dataPt>
          <cx:dataPt idx="2">
            <cx:spPr>
              <a:solidFill>
                <a:srgbClr val="44546A"/>
              </a:solidFill>
            </cx:spPr>
          </cx:dataPt>
          <cx:dataPt idx="3">
            <cx:spPr>
              <a:solidFill>
                <a:srgbClr val="44546A"/>
              </a:solidFill>
            </cx:spPr>
          </cx:dataPt>
          <cx:dataPt idx="4">
            <cx:spPr>
              <a:solidFill>
                <a:srgbClr val="44546A"/>
              </a:solidFill>
            </cx:spPr>
          </cx:dataPt>
          <cx:dataPt idx="5">
            <cx:spPr>
              <a:solidFill>
                <a:srgbClr val="44546A"/>
              </a:solidFill>
            </cx:spPr>
          </cx:dataPt>
          <cx:dataPt idx="6">
            <cx:spPr>
              <a:solidFill>
                <a:srgbClr val="44546A"/>
              </a:solidFill>
            </cx:spPr>
          </cx:dataPt>
          <cx:dataPt idx="7">
            <cx:spPr>
              <a:solidFill>
                <a:srgbClr val="44546A"/>
              </a:solidFill>
            </cx:spPr>
          </cx:dataPt>
          <cx:dataPt idx="8">
            <cx:spPr>
              <a:solidFill>
                <a:srgbClr val="44546A"/>
              </a:solidFill>
            </cx:spPr>
          </cx:dataPt>
          <cx:dataPt idx="9">
            <cx:spPr>
              <a:solidFill>
                <a:srgbClr val="44546A"/>
              </a:solidFill>
            </cx:spPr>
          </cx:dataPt>
          <cx:dataPt idx="19">
            <cx:spPr>
              <a:solidFill>
                <a:srgbClr val="70AD47">
                  <a:lumMod val="75000"/>
                </a:srgbClr>
              </a:solidFill>
            </cx:spPr>
          </cx:dataPt>
          <cx:dataPt idx="20">
            <cx:spPr>
              <a:solidFill>
                <a:srgbClr val="70AD47">
                  <a:lumMod val="75000"/>
                </a:srgbClr>
              </a:solidFill>
            </cx:spPr>
          </cx:dataPt>
          <cx:dataPt idx="21">
            <cx:spPr>
              <a:solidFill>
                <a:srgbClr val="70AD47">
                  <a:lumMod val="75000"/>
                </a:srgbClr>
              </a:solidFill>
            </cx:spPr>
          </cx:dataPt>
          <cx:dataPt idx="22">
            <cx:spPr>
              <a:solidFill>
                <a:srgbClr val="70AD47">
                  <a:lumMod val="75000"/>
                </a:srgbClr>
              </a:solidFill>
            </cx:spPr>
          </cx:dataPt>
          <cx:dataPt idx="27">
            <cx:spPr>
              <a:solidFill>
                <a:srgbClr val="C00000"/>
              </a:solidFill>
            </cx:spPr>
          </cx:dataPt>
          <cx:dataPt idx="28">
            <cx:spPr>
              <a:solidFill>
                <a:srgbClr val="C00000"/>
              </a:solidFill>
            </cx:spPr>
          </cx:dataPt>
          <cx:dataPt idx="29">
            <cx:spPr>
              <a:solidFill>
                <a:srgbClr val="C00000"/>
              </a:solidFill>
            </cx:spPr>
          </cx:dataPt>
          <cx:dataPt idx="30">
            <cx:spPr>
              <a:solidFill>
                <a:srgbClr val="C00000"/>
              </a:solidFill>
            </cx:spPr>
          </cx:dataPt>
          <cx:dataPt idx="32">
            <cx:spPr>
              <a:solidFill>
                <a:srgbClr val="8F3737"/>
              </a:solidFill>
            </cx:spPr>
          </cx:dataPt>
          <cx:dataPt idx="34">
            <cx:spPr>
              <a:solidFill>
                <a:srgbClr val="0091C4"/>
              </a:solidFill>
            </cx:spPr>
          </cx:dataPt>
          <cx:dataPt idx="35">
            <cx:spPr>
              <a:solidFill>
                <a:srgbClr val="0091C4"/>
              </a:solidFill>
            </cx:spPr>
          </cx:dataPt>
          <cx:dataPt idx="36">
            <cx:spPr>
              <a:solidFill>
                <a:srgbClr val="0091C4"/>
              </a:solidFill>
            </cx:spPr>
          </cx:dataPt>
          <cx:dataPt idx="38">
            <cx:spPr>
              <a:solidFill>
                <a:srgbClr val="660066"/>
              </a:solidFill>
            </cx:spPr>
          </cx:dataPt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s-ES" sz="900" b="1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0"/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s-ES" sz="900" b="1" i="0" u="none" strike="noStrike" baseline="0">
                      <a:solidFill>
                        <a:sysClr val="window" lastClr="FFFFFF"/>
                      </a:solidFill>
                      <a:latin typeface="Calibri" panose="020F0502020204030204"/>
                    </a:rPr>
                    <a:t>Alojamiento
(AL)</a:t>
                  </a:r>
                </a:p>
              </cx:txPr>
              <cx:visibility seriesName="0" categoryName="1" value="0"/>
              <cx:separator>, </cx:separator>
            </cx:dataLabel>
          </cx:dataLabels>
          <cx:dataId val="0"/>
          <cx:layoutPr>
            <cx:parentLabelLayout val="banner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438149</xdr:colOff>
      <xdr:row>29</xdr:row>
      <xdr:rowOff>38098</xdr:rowOff>
    </xdr:from>
    <xdr:to>
      <xdr:col>7</xdr:col>
      <xdr:colOff>304799</xdr:colOff>
      <xdr:row>67</xdr:row>
      <xdr:rowOff>95249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8501AF1C-C259-45EC-865A-DD717CEDA2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8149" y="5419723"/>
              <a:ext cx="9429750" cy="73152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63</xdr:row>
      <xdr:rowOff>0</xdr:rowOff>
    </xdr:from>
    <xdr:to>
      <xdr:col>17</xdr:col>
      <xdr:colOff>304800</xdr:colOff>
      <xdr:row>106</xdr:row>
      <xdr:rowOff>122464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6991136A-94CD-424F-A2FD-271A09CC8E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72700" y="11877675"/>
              <a:ext cx="9753600" cy="83139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</xdr:col>
      <xdr:colOff>1304925</xdr:colOff>
      <xdr:row>46</xdr:row>
      <xdr:rowOff>76200</xdr:rowOff>
    </xdr:from>
    <xdr:to>
      <xdr:col>3</xdr:col>
      <xdr:colOff>3238500</xdr:colOff>
      <xdr:row>51</xdr:row>
      <xdr:rowOff>133350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B81AB35-9211-E69F-6971-B5F4CDBA5CF5}"/>
            </a:ext>
          </a:extLst>
        </xdr:cNvPr>
        <xdr:cNvSpPr txBox="1"/>
      </xdr:nvSpPr>
      <xdr:spPr>
        <a:xfrm>
          <a:off x="4171950" y="8896350"/>
          <a:ext cx="1933575" cy="10096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700" b="1"/>
            <a:t>MANIFESTACIONES</a:t>
          </a:r>
        </a:p>
        <a:p>
          <a:pPr algn="ctr"/>
          <a:r>
            <a:rPr lang="es-EC" sz="1700" b="1"/>
            <a:t>CULTURALES</a:t>
          </a:r>
        </a:p>
      </xdr:txBody>
    </xdr:sp>
    <xdr:clientData/>
  </xdr:twoCellAnchor>
  <xdr:twoCellAnchor>
    <xdr:from>
      <xdr:col>10</xdr:col>
      <xdr:colOff>1495425</xdr:colOff>
      <xdr:row>82</xdr:row>
      <xdr:rowOff>142875</xdr:rowOff>
    </xdr:from>
    <xdr:to>
      <xdr:col>11</xdr:col>
      <xdr:colOff>923925</xdr:colOff>
      <xdr:row>88</xdr:row>
      <xdr:rowOff>9525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D2A87351-4828-422E-A3A1-FC6D9E7512AE}"/>
            </a:ext>
          </a:extLst>
        </xdr:cNvPr>
        <xdr:cNvSpPr txBox="1"/>
      </xdr:nvSpPr>
      <xdr:spPr>
        <a:xfrm>
          <a:off x="14773275" y="15840075"/>
          <a:ext cx="1933575" cy="10096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700" b="1"/>
            <a:t>ATRACTIVOS</a:t>
          </a:r>
          <a:r>
            <a:rPr lang="es-EC" sz="1700" b="1" baseline="0"/>
            <a:t> NATURALES</a:t>
          </a:r>
          <a:endParaRPr lang="es-EC" sz="17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3</xdr:row>
      <xdr:rowOff>152400</xdr:rowOff>
    </xdr:from>
    <xdr:to>
      <xdr:col>6</xdr:col>
      <xdr:colOff>276225</xdr:colOff>
      <xdr:row>6</xdr:row>
      <xdr:rowOff>191924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3 CuadroTexto">
              <a:extLst>
                <a:ext uri="{FF2B5EF4-FFF2-40B4-BE49-F238E27FC236}">
                  <a16:creationId xmlns:a16="http://schemas.microsoft.com/office/drawing/2014/main" id="{51C06B8A-CF1D-41A3-B3A5-1F11E9178ED8}"/>
                </a:ext>
              </a:extLst>
            </xdr:cNvPr>
            <xdr:cNvSpPr txBox="1"/>
          </xdr:nvSpPr>
          <xdr:spPr>
            <a:xfrm>
              <a:off x="1076325" y="723900"/>
              <a:ext cx="2857500" cy="83009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s-ES" sz="3000" b="1">
                  <a:solidFill>
                    <a:sysClr val="windowText" lastClr="000000"/>
                  </a:solidFill>
                </a:rPr>
                <a:t>ICT =</a:t>
              </a:r>
              <a14:m>
                <m:oMath xmlns:m="http://schemas.openxmlformats.org/officeDocument/2006/math">
                  <m:r>
                    <a:rPr lang="es-EC" sz="3000" b="0" i="0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m:t> </m:t>
                  </m:r>
                  <m:d>
                    <m:dPr>
                      <m:ctrlPr>
                        <a:rPr lang="es-ES" sz="3000" i="1">
                          <a:solidFill>
                            <a:sysClr val="windowText" lastClr="000000"/>
                          </a:solidFill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es-ES" sz="3000" i="1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s-EC" sz="3000" b="0" i="1" kern="1200">
                              <a:solidFill>
                                <a:sysClr val="windowText" lastClr="000000"/>
                              </a:solidFill>
                              <a:effectLst/>
                              <a:latin typeface="+mn-lt"/>
                              <a:ea typeface="+mn-ea"/>
                              <a:cs typeface="+mn-cs"/>
                            </a:rPr>
                            <m:t>𝑆</m:t>
                          </m:r>
                          <m:sSub>
                            <m:sSubPr>
                              <m:ctrlPr>
                                <a:rPr lang="es-ES" sz="3000" i="1" kern="1200">
                                  <a:solidFill>
                                    <a:sysClr val="windowText" lastClr="000000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es-EC" sz="3000" b="0" i="1" kern="1200">
                                  <a:solidFill>
                                    <a:sysClr val="windowText" lastClr="000000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𝑖</m:t>
                              </m:r>
                            </m:e>
                            <m:sub>
                              <m:r>
                                <a:rPr lang="es-EC" sz="3000" b="0" i="1" kern="1200">
                                  <a:solidFill>
                                    <a:sysClr val="windowText" lastClr="00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𝑎</m:t>
                              </m:r>
                            </m:sub>
                          </m:sSub>
                        </m:num>
                        <m:den>
                          <m:r>
                            <a:rPr lang="es-EC" sz="3000" b="0" i="1">
                              <a:solidFill>
                                <a:sysClr val="windowText" lastClr="000000"/>
                              </a:solidFill>
                              <a:latin typeface="Cambria Math" panose="02040503050406030204" pitchFamily="18" charset="0"/>
                            </a:rPr>
                            <m:t>𝑆</m:t>
                          </m:r>
                          <m:sSub>
                            <m:sSubPr>
                              <m:ctrlPr>
                                <a:rPr lang="es-ES" sz="3000" i="1" kern="1200">
                                  <a:solidFill>
                                    <a:sysClr val="windowText" lastClr="000000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</m:ctrlPr>
                            </m:sSubPr>
                            <m:e>
                              <m:r>
                                <a:rPr lang="es-EC" sz="3000" b="0" i="1" kern="1200">
                                  <a:solidFill>
                                    <a:sysClr val="windowText" lastClr="000000"/>
                                  </a:solidFill>
                                  <a:effectLst/>
                                  <a:latin typeface="+mn-lt"/>
                                  <a:ea typeface="+mn-ea"/>
                                  <a:cs typeface="+mn-cs"/>
                                </a:rPr>
                                <m:t>𝑖</m:t>
                              </m:r>
                            </m:e>
                            <m:sub>
                              <m:r>
                                <a:rPr lang="es-EC" sz="3000" b="0" i="1" kern="1200">
                                  <a:solidFill>
                                    <a:sysClr val="windowText" lastClr="000000"/>
                                  </a:solidFill>
                                  <a:effectLst/>
                                  <a:latin typeface="Cambria Math" panose="02040503050406030204" pitchFamily="18" charset="0"/>
                                  <a:ea typeface="+mn-ea"/>
                                  <a:cs typeface="+mn-cs"/>
                                </a:rPr>
                                <m:t>𝑑</m:t>
                              </m:r>
                            </m:sub>
                          </m:sSub>
                        </m:den>
                      </m:f>
                    </m:e>
                  </m:d>
                  <m:r>
                    <a:rPr lang="es-ES" sz="3000" i="1">
                      <a:solidFill>
                        <a:sysClr val="windowText" lastClr="000000"/>
                      </a:solidFill>
                      <a:latin typeface="Cambria Math" panose="02040503050406030204" pitchFamily="18" charset="0"/>
                    </a:rPr>
                    <m:t>∗100</m:t>
                  </m:r>
                </m:oMath>
              </a14:m>
              <a:endParaRPr lang="es-ES" sz="3000">
                <a:solidFill>
                  <a:sysClr val="windowText" lastClr="000000"/>
                </a:solidFill>
              </a:endParaRPr>
            </a:p>
          </xdr:txBody>
        </xdr:sp>
      </mc:Choice>
      <mc:Fallback>
        <xdr:sp macro="" textlink="">
          <xdr:nvSpPr>
            <xdr:cNvPr id="2" name="3 CuadroTexto">
              <a:extLst>
                <a:ext uri="{FF2B5EF4-FFF2-40B4-BE49-F238E27FC236}">
                  <a16:creationId xmlns:a16="http://schemas.microsoft.com/office/drawing/2014/main" id="{51C06B8A-CF1D-41A3-B3A5-1F11E9178ED8}"/>
                </a:ext>
              </a:extLst>
            </xdr:cNvPr>
            <xdr:cNvSpPr txBox="1"/>
          </xdr:nvSpPr>
          <xdr:spPr>
            <a:xfrm>
              <a:off x="1076325" y="723900"/>
              <a:ext cx="2857500" cy="83009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s-ES" sz="3000" b="1">
                  <a:solidFill>
                    <a:sysClr val="windowText" lastClr="000000"/>
                  </a:solidFill>
                </a:rPr>
                <a:t>ICT =</a:t>
              </a:r>
              <a:r>
                <a:rPr lang="es-EC" sz="30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 </a:t>
              </a:r>
              <a:r>
                <a:rPr lang="es-ES" sz="300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((</a:t>
              </a:r>
              <a:r>
                <a:rPr lang="es-EC" sz="3000" b="0" i="0" kern="12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𝑆𝑖</a:t>
              </a:r>
              <a:r>
                <a:rPr lang="es-ES" sz="3000" b="0" i="0" kern="12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EC" sz="3000" b="0" i="0" kern="12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𝑎</a:t>
              </a:r>
              <a:r>
                <a:rPr lang="es-ES" sz="3000" b="0" i="0" kern="12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s-EC" sz="3000" b="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𝑆</a:t>
              </a:r>
              <a:r>
                <a:rPr lang="es-EC" sz="3000" b="0" i="0" kern="12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𝑖</a:t>
              </a:r>
              <a:r>
                <a:rPr lang="es-ES" sz="3000" b="0" i="0" kern="1200">
                  <a:solidFill>
                    <a:sysClr val="windowText" lastClr="000000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s-EC" sz="3000" b="0" i="0" kern="12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𝑑</a:t>
              </a:r>
              <a:r>
                <a:rPr lang="es-ES" sz="3000" b="0" i="0" kern="120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))</a:t>
              </a:r>
              <a:r>
                <a:rPr lang="es-ES" sz="3000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∗100</a:t>
              </a:r>
              <a:endParaRPr lang="es-ES" sz="3000">
                <a:solidFill>
                  <a:sysClr val="windowText" lastClr="000000"/>
                </a:solidFill>
              </a:endParaRPr>
            </a:p>
          </xdr:txBody>
        </xdr:sp>
      </mc:Fallback>
    </mc:AlternateContent>
    <xdr:clientData/>
  </xdr:twoCellAnchor>
  <xdr:twoCellAnchor>
    <xdr:from>
      <xdr:col>0</xdr:col>
      <xdr:colOff>390524</xdr:colOff>
      <xdr:row>7</xdr:row>
      <xdr:rowOff>95250</xdr:rowOff>
    </xdr:from>
    <xdr:to>
      <xdr:col>7</xdr:col>
      <xdr:colOff>85725</xdr:colOff>
      <xdr:row>19</xdr:row>
      <xdr:rowOff>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Rectángulo 3">
              <a:extLst>
                <a:ext uri="{FF2B5EF4-FFF2-40B4-BE49-F238E27FC236}">
                  <a16:creationId xmlns:a16="http://schemas.microsoft.com/office/drawing/2014/main" id="{03356F8F-9170-4366-8EE0-22DB92D950C4}"/>
                </a:ext>
              </a:extLst>
            </xdr:cNvPr>
            <xdr:cNvSpPr/>
          </xdr:nvSpPr>
          <xdr:spPr>
            <a:xfrm>
              <a:off x="390524" y="1657350"/>
              <a:ext cx="3962401" cy="2219325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just">
                <a:lnSpc>
                  <a:spcPct val="150000"/>
                </a:lnSpc>
                <a:spcAft>
                  <a:spcPts val="0"/>
                </a:spcAft>
                <a:tabLst>
                  <a:tab pos="2409825" algn="l"/>
                </a:tabLst>
              </a:pPr>
              <a:r>
                <a:rPr lang="es-EC" sz="1200" b="1">
                  <a:latin typeface="+mj-lt"/>
                  <a:ea typeface="Calibri" panose="020F0502020204030204" pitchFamily="34" charset="0"/>
                  <a:cs typeface="Times New Roman" panose="02020603050405020304" pitchFamily="18" charset="0"/>
                </a:rPr>
                <a:t>Si =</a:t>
              </a:r>
              <a:r>
                <a:rPr lang="es-EC" sz="1200">
                  <a:effectLst/>
                  <a:latin typeface="+mj-lt"/>
                  <a:ea typeface="Calibri" panose="020F0502020204030204" pitchFamily="34" charset="0"/>
                  <a:cs typeface="Times New Roman" panose="02020603050405020304" pitchFamily="18" charset="0"/>
                </a:rPr>
                <a:t> Al número de empresas pertenecientes a cada sector industrial</a:t>
              </a:r>
            </a:p>
            <a:p>
              <a:pPr algn="just">
                <a:lnSpc>
                  <a:spcPct val="150000"/>
                </a:lnSpc>
                <a:spcAft>
                  <a:spcPts val="0"/>
                </a:spcAft>
                <a:tabLst>
                  <a:tab pos="2409825" algn="l"/>
                </a:tabLst>
              </a:pPr>
              <a:r>
                <a:rPr lang="es-EC" sz="1200" b="1">
                  <a:effectLst/>
                  <a:latin typeface="+mj-lt"/>
                  <a:ea typeface="Calibri" panose="020F0502020204030204" pitchFamily="34" charset="0"/>
                  <a:cs typeface="Times New Roman" panose="02020603050405020304" pitchFamily="18" charset="0"/>
                </a:rPr>
                <a:t> </a:t>
              </a:r>
              <a:endParaRPr lang="es-EC" sz="1200">
                <a:effectLst/>
                <a:latin typeface="+mj-lt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pPr algn="just">
                <a:lnSpc>
                  <a:spcPct val="150000"/>
                </a:lnSpc>
                <a:spcAft>
                  <a:spcPts val="0"/>
                </a:spcAft>
                <a:tabLst>
                  <a:tab pos="2409825" algn="l"/>
                </a:tabLst>
              </a:pPr>
              <a:r>
                <a:rPr lang="es-EC" sz="1200" b="1">
                  <a:effectLst/>
                  <a:latin typeface="+mj-lt"/>
                  <a:ea typeface="Calibri" panose="020F0502020204030204" pitchFamily="34" charset="0"/>
                  <a:cs typeface="Times New Roman" panose="02020603050405020304" pitchFamily="18" charset="0"/>
                </a:rPr>
                <a:t>Pi =</a:t>
              </a:r>
              <a:r>
                <a:rPr lang="es-EC" sz="1200">
                  <a:effectLst/>
                  <a:latin typeface="+mj-lt"/>
                  <a:ea typeface="Calibri" panose="020F0502020204030204" pitchFamily="34" charset="0"/>
                  <a:cs typeface="Times New Roman" panose="02020603050405020304" pitchFamily="18" charset="0"/>
                </a:rPr>
                <a:t> Razón de participación empresarial dentro de cada subsector industrial, el cálculo de éste se ejecuta de la siguiente manera:</a:t>
              </a:r>
            </a:p>
            <a:p>
              <a:pPr>
                <a:lnSpc>
                  <a:spcPct val="107000"/>
                </a:lnSpc>
                <a:spcAft>
                  <a:spcPts val="0"/>
                </a:spcAft>
                <a:tabLst>
                  <a:tab pos="2409825" algn="l"/>
                </a:tabLs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C" sz="1200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Cambria Math" panose="02040503050406030204" pitchFamily="18" charset="0"/>
                      </a:rPr>
                      <m:t>𝑃𝑖</m:t>
                    </m:r>
                    <m:r>
                      <a:rPr lang="es-EC" sz="120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C" sz="12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Arial" panose="020B0604020202020204" pitchFamily="34" charset="0"/>
                          </a:rPr>
                        </m:ctrlPr>
                      </m:fPr>
                      <m:num>
                        <m:r>
                          <a:rPr lang="es-EC" sz="120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Cambria Math" panose="02040503050406030204" pitchFamily="18" charset="0"/>
                          </a:rPr>
                          <m:t>100 (</m:t>
                        </m:r>
                        <m:r>
                          <m:rPr>
                            <m:sty m:val="p"/>
                          </m:rPr>
                          <a:rPr lang="es-EC" sz="120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Cambria Math" panose="02040503050406030204" pitchFamily="18" charset="0"/>
                          </a:rPr>
                          <m:t>Es</m:t>
                        </m:r>
                        <m:r>
                          <a:rPr lang="es-EC" sz="120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s-EC" sz="120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Cambria Math" panose="02040503050406030204" pitchFamily="18" charset="0"/>
                          </a:rPr>
                          <m:t>la</m:t>
                        </m:r>
                        <m:r>
                          <a:rPr lang="es-EC" sz="120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sty m:val="p"/>
                          </m:rPr>
                          <a:rPr lang="es-EC" sz="120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Cambria Math" panose="02040503050406030204" pitchFamily="18" charset="0"/>
                          </a:rPr>
                          <m:t>Raz</m:t>
                        </m:r>
                        <m:r>
                          <a:rPr lang="es-EC" sz="120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Cambria Math" panose="02040503050406030204" pitchFamily="18" charset="0"/>
                          </a:rPr>
                          <m:t>ó</m:t>
                        </m:r>
                        <m:r>
                          <m:rPr>
                            <m:sty m:val="p"/>
                          </m:rPr>
                          <a:rPr lang="es-EC" sz="120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Cambria Math" panose="02040503050406030204" pitchFamily="18" charset="0"/>
                          </a:rPr>
                          <m:t>n</m:t>
                        </m:r>
                        <m:r>
                          <a:rPr lang="es-EC" sz="120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s-EC" sz="12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Arial" panose="020B0604020202020204" pitchFamily="34" charset="0"/>
                              </a:rPr>
                            </m:ctrlPr>
                          </m:radPr>
                          <m:deg/>
                          <m:e>
                            <m:r>
                              <a:rPr lang="es-EC" sz="12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Arial" panose="020B0604020202020204" pitchFamily="34" charset="0"/>
                              </a:rPr>
                              <m:t>𝑆𝑖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EC" sz="1200">
                <a:effectLst/>
                <a:latin typeface="+mj-lt"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</mc:Choice>
      <mc:Fallback>
        <xdr:sp macro="" textlink="">
          <xdr:nvSpPr>
            <xdr:cNvPr id="3" name="Rectángulo 3">
              <a:extLst>
                <a:ext uri="{FF2B5EF4-FFF2-40B4-BE49-F238E27FC236}">
                  <a16:creationId xmlns:a16="http://schemas.microsoft.com/office/drawing/2014/main" id="{03356F8F-9170-4366-8EE0-22DB92D950C4}"/>
                </a:ext>
              </a:extLst>
            </xdr:cNvPr>
            <xdr:cNvSpPr/>
          </xdr:nvSpPr>
          <xdr:spPr>
            <a:xfrm>
              <a:off x="390524" y="1657350"/>
              <a:ext cx="3962401" cy="2219325"/>
            </a:xfrm>
            <a:prstGeom prst="rect">
              <a:avLst/>
            </a:prstGeom>
          </xdr:spPr>
          <xdr:txBody>
            <a:bodyPr wrap="square">
              <a:noAutofit/>
            </a:bodyPr>
            <a:lstStyle>
              <a:defPPr>
                <a:defRPr lang="es-EC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just">
                <a:lnSpc>
                  <a:spcPct val="150000"/>
                </a:lnSpc>
                <a:spcAft>
                  <a:spcPts val="0"/>
                </a:spcAft>
                <a:tabLst>
                  <a:tab pos="2409825" algn="l"/>
                </a:tabLst>
              </a:pPr>
              <a:r>
                <a:rPr lang="es-EC" sz="1200" b="1">
                  <a:latin typeface="+mj-lt"/>
                  <a:ea typeface="Calibri" panose="020F0502020204030204" pitchFamily="34" charset="0"/>
                  <a:cs typeface="Times New Roman" panose="02020603050405020304" pitchFamily="18" charset="0"/>
                </a:rPr>
                <a:t>Si =</a:t>
              </a:r>
              <a:r>
                <a:rPr lang="es-EC" sz="1200">
                  <a:effectLst/>
                  <a:latin typeface="+mj-lt"/>
                  <a:ea typeface="Calibri" panose="020F0502020204030204" pitchFamily="34" charset="0"/>
                  <a:cs typeface="Times New Roman" panose="02020603050405020304" pitchFamily="18" charset="0"/>
                </a:rPr>
                <a:t> Al número de empresas pertenecientes a cada sector industrial</a:t>
              </a:r>
            </a:p>
            <a:p>
              <a:pPr algn="just">
                <a:lnSpc>
                  <a:spcPct val="150000"/>
                </a:lnSpc>
                <a:spcAft>
                  <a:spcPts val="0"/>
                </a:spcAft>
                <a:tabLst>
                  <a:tab pos="2409825" algn="l"/>
                </a:tabLst>
              </a:pPr>
              <a:r>
                <a:rPr lang="es-EC" sz="1200" b="1">
                  <a:effectLst/>
                  <a:latin typeface="+mj-lt"/>
                  <a:ea typeface="Calibri" panose="020F0502020204030204" pitchFamily="34" charset="0"/>
                  <a:cs typeface="Times New Roman" panose="02020603050405020304" pitchFamily="18" charset="0"/>
                </a:rPr>
                <a:t> </a:t>
              </a:r>
              <a:endParaRPr lang="es-EC" sz="1200">
                <a:effectLst/>
                <a:latin typeface="+mj-lt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pPr algn="just">
                <a:lnSpc>
                  <a:spcPct val="150000"/>
                </a:lnSpc>
                <a:spcAft>
                  <a:spcPts val="0"/>
                </a:spcAft>
                <a:tabLst>
                  <a:tab pos="2409825" algn="l"/>
                </a:tabLst>
              </a:pPr>
              <a:r>
                <a:rPr lang="es-EC" sz="1200" b="1">
                  <a:effectLst/>
                  <a:latin typeface="+mj-lt"/>
                  <a:ea typeface="Calibri" panose="020F0502020204030204" pitchFamily="34" charset="0"/>
                  <a:cs typeface="Times New Roman" panose="02020603050405020304" pitchFamily="18" charset="0"/>
                </a:rPr>
                <a:t>Pi =</a:t>
              </a:r>
              <a:r>
                <a:rPr lang="es-EC" sz="1200">
                  <a:effectLst/>
                  <a:latin typeface="+mj-lt"/>
                  <a:ea typeface="Calibri" panose="020F0502020204030204" pitchFamily="34" charset="0"/>
                  <a:cs typeface="Times New Roman" panose="02020603050405020304" pitchFamily="18" charset="0"/>
                </a:rPr>
                <a:t> Razón de participación empresarial dentro de cada subsector industrial, el cálculo de éste se ejecuta de la siguiente manera:</a:t>
              </a:r>
            </a:p>
            <a:p>
              <a:pPr>
                <a:lnSpc>
                  <a:spcPct val="107000"/>
                </a:lnSpc>
                <a:spcAft>
                  <a:spcPts val="0"/>
                </a:spcAft>
                <a:tabLst>
                  <a:tab pos="2409825" algn="l"/>
                </a:tabLst>
              </a:pPr>
              <a:r>
                <a:rPr lang="es-EC" sz="12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Cambria Math" panose="02040503050406030204" pitchFamily="18" charset="0"/>
                </a:rPr>
                <a:t>𝑃𝑖=</a:t>
              </a:r>
              <a:r>
                <a:rPr lang="es-EC" sz="1200" i="0">
                  <a:effectLst/>
                  <a:latin typeface="Cambria Math" panose="02040503050406030204" pitchFamily="18" charset="0"/>
                  <a:cs typeface="Arial" panose="020B0604020202020204" pitchFamily="34" charset="0"/>
                </a:rPr>
                <a:t>(</a:t>
              </a:r>
              <a:r>
                <a:rPr lang="es-EC" sz="12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Cambria Math" panose="02040503050406030204" pitchFamily="18" charset="0"/>
                </a:rPr>
                <a:t>100 (Es la Razón))/√</a:t>
              </a:r>
              <a:r>
                <a:rPr lang="es-EC" sz="12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Arial" panose="020B0604020202020204" pitchFamily="34" charset="0"/>
                </a:rPr>
                <a:t>𝑆𝑖</a:t>
              </a:r>
              <a:endParaRPr lang="es-EC" sz="1200">
                <a:effectLst/>
                <a:latin typeface="+mj-lt"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  <xdr:twoCellAnchor>
    <xdr:from>
      <xdr:col>0</xdr:col>
      <xdr:colOff>133350</xdr:colOff>
      <xdr:row>19</xdr:row>
      <xdr:rowOff>157162</xdr:rowOff>
    </xdr:from>
    <xdr:to>
      <xdr:col>8</xdr:col>
      <xdr:colOff>419100</xdr:colOff>
      <xdr:row>45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772F65D-34D1-4864-99E3-36EAB696C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601264</xdr:colOff>
      <xdr:row>44</xdr:row>
      <xdr:rowOff>122633</xdr:rowOff>
    </xdr:from>
    <xdr:to>
      <xdr:col>23</xdr:col>
      <xdr:colOff>535781</xdr:colOff>
      <xdr:row>73</xdr:row>
      <xdr:rowOff>83344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97C0BB72-C426-0FFC-F3B0-545DBF91D1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78064" y="9590483"/>
              <a:ext cx="15955567" cy="54852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3</xdr:col>
      <xdr:colOff>276224</xdr:colOff>
      <xdr:row>31</xdr:row>
      <xdr:rowOff>85725</xdr:rowOff>
    </xdr:from>
    <xdr:to>
      <xdr:col>5</xdr:col>
      <xdr:colOff>228599</xdr:colOff>
      <xdr:row>34</xdr:row>
      <xdr:rowOff>19050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D94523B-BF55-D571-C72A-58C004BE60E6}"/>
            </a:ext>
          </a:extLst>
        </xdr:cNvPr>
        <xdr:cNvSpPr txBox="1"/>
      </xdr:nvSpPr>
      <xdr:spPr>
        <a:xfrm>
          <a:off x="2105024" y="6305550"/>
          <a:ext cx="1171575" cy="666750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750" b="1"/>
            <a:t>PLANTA TURÍSTICA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2D51D-9726-4621-8F80-D9A15F9D2CCB}">
  <dimension ref="A2:N62"/>
  <sheetViews>
    <sheetView tabSelected="1" zoomScaleNormal="100" workbookViewId="0">
      <selection activeCell="H9" sqref="H9"/>
    </sheetView>
  </sheetViews>
  <sheetFormatPr baseColWidth="10" defaultColWidth="9.140625" defaultRowHeight="15" x14ac:dyDescent="0.25"/>
  <cols>
    <col min="1" max="1" width="9.140625" style="2"/>
    <col min="2" max="2" width="17.7109375" style="2" customWidth="1"/>
    <col min="3" max="3" width="16.140625" style="2" customWidth="1"/>
    <col min="4" max="4" width="53" style="2" customWidth="1"/>
    <col min="5" max="5" width="13.140625" style="2" customWidth="1"/>
    <col min="6" max="6" width="17.28515625" style="2" customWidth="1"/>
    <col min="7" max="7" width="17" style="2" customWidth="1"/>
    <col min="8" max="8" width="9.140625" style="2"/>
    <col min="9" max="9" width="26.7109375" style="2" customWidth="1"/>
    <col min="10" max="10" width="19.85546875" style="2" customWidth="1"/>
    <col min="11" max="11" width="37.5703125" style="2" customWidth="1"/>
    <col min="12" max="12" width="17.7109375" style="2" customWidth="1"/>
    <col min="13" max="13" width="16" style="2" customWidth="1"/>
    <col min="14" max="14" width="16.140625" style="2" customWidth="1"/>
    <col min="15" max="16384" width="9.140625" style="2"/>
  </cols>
  <sheetData>
    <row r="2" spans="2:14" x14ac:dyDescent="0.25">
      <c r="B2" s="100" t="s">
        <v>169</v>
      </c>
      <c r="C2" s="100"/>
      <c r="D2" s="100"/>
      <c r="E2" s="100"/>
      <c r="F2" s="99" t="s">
        <v>123</v>
      </c>
      <c r="G2" s="99"/>
      <c r="H2" s="12"/>
      <c r="I2" s="100" t="s">
        <v>169</v>
      </c>
      <c r="J2" s="100"/>
      <c r="K2" s="100"/>
      <c r="L2" s="100"/>
      <c r="M2" s="99" t="s">
        <v>123</v>
      </c>
      <c r="N2" s="99"/>
    </row>
    <row r="3" spans="2:14" ht="15.75" thickBot="1" x14ac:dyDescent="0.3"/>
    <row r="4" spans="2:14" ht="15.75" thickBot="1" x14ac:dyDescent="0.3">
      <c r="B4" s="95" t="s">
        <v>168</v>
      </c>
      <c r="C4" s="96"/>
      <c r="D4" s="97"/>
      <c r="E4" s="97"/>
      <c r="F4" s="97"/>
      <c r="G4" s="98"/>
      <c r="I4" s="95" t="s">
        <v>168</v>
      </c>
      <c r="J4" s="64"/>
      <c r="K4" s="65"/>
      <c r="L4" s="65"/>
      <c r="M4" s="65"/>
      <c r="N4" s="66"/>
    </row>
    <row r="5" spans="2:14" ht="15.75" thickBot="1" x14ac:dyDescent="0.3">
      <c r="B5" s="64" t="s">
        <v>121</v>
      </c>
      <c r="C5" s="65"/>
      <c r="D5" s="65"/>
      <c r="E5" s="65"/>
      <c r="F5" s="65"/>
      <c r="G5" s="66"/>
      <c r="I5" s="64" t="s">
        <v>122</v>
      </c>
      <c r="J5" s="65"/>
      <c r="K5" s="65"/>
      <c r="L5" s="65"/>
      <c r="M5" s="65"/>
      <c r="N5" s="66"/>
    </row>
    <row r="6" spans="2:14" ht="15.75" thickBot="1" x14ac:dyDescent="0.3">
      <c r="B6" s="36" t="s">
        <v>29</v>
      </c>
      <c r="C6" s="37" t="s">
        <v>30</v>
      </c>
      <c r="D6" s="38" t="s">
        <v>31</v>
      </c>
      <c r="E6" s="41" t="s">
        <v>33</v>
      </c>
      <c r="F6" s="41" t="s">
        <v>34</v>
      </c>
      <c r="G6" s="42" t="s">
        <v>32</v>
      </c>
      <c r="I6" s="36" t="s">
        <v>29</v>
      </c>
      <c r="J6" s="37" t="s">
        <v>30</v>
      </c>
      <c r="K6" s="38" t="s">
        <v>31</v>
      </c>
      <c r="L6" s="41" t="s">
        <v>33</v>
      </c>
      <c r="M6" s="41" t="s">
        <v>34</v>
      </c>
      <c r="N6" s="42" t="s">
        <v>32</v>
      </c>
    </row>
    <row r="7" spans="2:14" ht="15" customHeight="1" x14ac:dyDescent="0.25">
      <c r="B7" s="62" t="s">
        <v>95</v>
      </c>
      <c r="C7" s="70" t="s">
        <v>96</v>
      </c>
      <c r="D7" s="18" t="s">
        <v>97</v>
      </c>
      <c r="E7" s="5"/>
      <c r="F7" s="21" t="e">
        <f>E7/$E$29</f>
        <v>#DIV/0!</v>
      </c>
      <c r="G7" s="6"/>
      <c r="I7" s="74" t="s">
        <v>35</v>
      </c>
      <c r="J7" s="72" t="s">
        <v>36</v>
      </c>
      <c r="K7" s="18" t="s">
        <v>37</v>
      </c>
      <c r="L7" s="5"/>
      <c r="M7" s="30" t="e">
        <f>L7/$L$62</f>
        <v>#DIV/0!</v>
      </c>
      <c r="N7" s="6"/>
    </row>
    <row r="8" spans="2:14" x14ac:dyDescent="0.25">
      <c r="B8" s="63"/>
      <c r="C8" s="71"/>
      <c r="D8" s="19" t="s">
        <v>98</v>
      </c>
      <c r="E8" s="7"/>
      <c r="F8" s="22" t="e">
        <f t="shared" ref="F8:F28" si="0">E8/$E$29</f>
        <v>#DIV/0!</v>
      </c>
      <c r="G8" s="8"/>
      <c r="I8" s="75"/>
      <c r="J8" s="67"/>
      <c r="K8" s="19" t="s">
        <v>38</v>
      </c>
      <c r="L8" s="5"/>
      <c r="M8" s="30" t="e">
        <f t="shared" ref="M8:M61" si="1">L8/$L$62</f>
        <v>#DIV/0!</v>
      </c>
      <c r="N8" s="8"/>
    </row>
    <row r="9" spans="2:14" x14ac:dyDescent="0.25">
      <c r="B9" s="63"/>
      <c r="C9" s="71"/>
      <c r="D9" s="19" t="s">
        <v>124</v>
      </c>
      <c r="E9" s="7"/>
      <c r="F9" s="22" t="e">
        <f t="shared" si="0"/>
        <v>#DIV/0!</v>
      </c>
      <c r="G9" s="8"/>
      <c r="I9" s="75"/>
      <c r="J9" s="67"/>
      <c r="K9" s="19" t="s">
        <v>39</v>
      </c>
      <c r="L9" s="5"/>
      <c r="M9" s="30" t="e">
        <f t="shared" si="1"/>
        <v>#DIV/0!</v>
      </c>
      <c r="N9" s="8"/>
    </row>
    <row r="10" spans="2:14" x14ac:dyDescent="0.25">
      <c r="B10" s="63"/>
      <c r="C10" s="71"/>
      <c r="D10" s="19" t="s">
        <v>101</v>
      </c>
      <c r="E10" s="7"/>
      <c r="F10" s="22" t="e">
        <f t="shared" si="0"/>
        <v>#DIV/0!</v>
      </c>
      <c r="G10" s="8"/>
      <c r="I10" s="75"/>
      <c r="J10" s="67" t="s">
        <v>40</v>
      </c>
      <c r="K10" s="19" t="s">
        <v>41</v>
      </c>
      <c r="L10" s="5"/>
      <c r="M10" s="30" t="e">
        <f t="shared" si="1"/>
        <v>#DIV/0!</v>
      </c>
      <c r="N10" s="8"/>
    </row>
    <row r="11" spans="2:14" x14ac:dyDescent="0.25">
      <c r="B11" s="63"/>
      <c r="C11" s="71"/>
      <c r="D11" s="19" t="s">
        <v>125</v>
      </c>
      <c r="E11" s="7"/>
      <c r="F11" s="22" t="e">
        <f t="shared" si="0"/>
        <v>#DIV/0!</v>
      </c>
      <c r="G11" s="8"/>
      <c r="I11" s="75"/>
      <c r="J11" s="67"/>
      <c r="K11" s="19" t="s">
        <v>42</v>
      </c>
      <c r="L11" s="5"/>
      <c r="M11" s="30" t="e">
        <f t="shared" si="1"/>
        <v>#DIV/0!</v>
      </c>
      <c r="N11" s="8"/>
    </row>
    <row r="12" spans="2:14" x14ac:dyDescent="0.25">
      <c r="B12" s="63"/>
      <c r="C12" s="71"/>
      <c r="D12" s="19" t="s">
        <v>99</v>
      </c>
      <c r="E12" s="7"/>
      <c r="F12" s="22" t="e">
        <f t="shared" si="0"/>
        <v>#DIV/0!</v>
      </c>
      <c r="G12" s="8"/>
      <c r="I12" s="75"/>
      <c r="J12" s="67"/>
      <c r="K12" s="19" t="s">
        <v>43</v>
      </c>
      <c r="L12" s="5"/>
      <c r="M12" s="30" t="e">
        <f t="shared" si="1"/>
        <v>#DIV/0!</v>
      </c>
      <c r="N12" s="8"/>
    </row>
    <row r="13" spans="2:14" x14ac:dyDescent="0.25">
      <c r="B13" s="63"/>
      <c r="C13" s="72"/>
      <c r="D13" s="19" t="s">
        <v>100</v>
      </c>
      <c r="E13" s="7"/>
      <c r="F13" s="22" t="e">
        <f t="shared" si="0"/>
        <v>#DIV/0!</v>
      </c>
      <c r="G13" s="8"/>
      <c r="I13" s="75"/>
      <c r="J13" s="67"/>
      <c r="K13" s="19" t="s">
        <v>44</v>
      </c>
      <c r="L13" s="5"/>
      <c r="M13" s="30" t="e">
        <f t="shared" si="1"/>
        <v>#DIV/0!</v>
      </c>
      <c r="N13" s="8"/>
    </row>
    <row r="14" spans="2:14" ht="15" customHeight="1" x14ac:dyDescent="0.25">
      <c r="B14" s="63"/>
      <c r="C14" s="73" t="s">
        <v>109</v>
      </c>
      <c r="D14" s="19" t="s">
        <v>102</v>
      </c>
      <c r="E14" s="7"/>
      <c r="F14" s="22" t="e">
        <f t="shared" si="0"/>
        <v>#DIV/0!</v>
      </c>
      <c r="G14" s="8"/>
      <c r="I14" s="75"/>
      <c r="J14" s="67" t="s">
        <v>45</v>
      </c>
      <c r="K14" s="19" t="s">
        <v>46</v>
      </c>
      <c r="L14" s="5"/>
      <c r="M14" s="30" t="e">
        <f t="shared" si="1"/>
        <v>#DIV/0!</v>
      </c>
      <c r="N14" s="8"/>
    </row>
    <row r="15" spans="2:14" x14ac:dyDescent="0.25">
      <c r="B15" s="63"/>
      <c r="C15" s="71"/>
      <c r="D15" s="19" t="s">
        <v>103</v>
      </c>
      <c r="E15" s="7"/>
      <c r="F15" s="22" t="e">
        <f t="shared" si="0"/>
        <v>#DIV/0!</v>
      </c>
      <c r="G15" s="8"/>
      <c r="I15" s="75"/>
      <c r="J15" s="67"/>
      <c r="K15" s="19" t="s">
        <v>47</v>
      </c>
      <c r="L15" s="5"/>
      <c r="M15" s="30" t="e">
        <f t="shared" si="1"/>
        <v>#DIV/0!</v>
      </c>
      <c r="N15" s="8"/>
    </row>
    <row r="16" spans="2:14" ht="15" customHeight="1" x14ac:dyDescent="0.25">
      <c r="B16" s="63"/>
      <c r="C16" s="71"/>
      <c r="D16" s="19" t="s">
        <v>104</v>
      </c>
      <c r="E16" s="7"/>
      <c r="F16" s="22" t="e">
        <f t="shared" si="0"/>
        <v>#DIV/0!</v>
      </c>
      <c r="G16" s="8"/>
      <c r="I16" s="75"/>
      <c r="J16" s="67" t="s">
        <v>128</v>
      </c>
      <c r="K16" s="19" t="s">
        <v>48</v>
      </c>
      <c r="L16" s="5"/>
      <c r="M16" s="30" t="e">
        <f t="shared" si="1"/>
        <v>#DIV/0!</v>
      </c>
      <c r="N16" s="8"/>
    </row>
    <row r="17" spans="1:14" x14ac:dyDescent="0.25">
      <c r="B17" s="63"/>
      <c r="C17" s="71"/>
      <c r="D17" s="19" t="s">
        <v>105</v>
      </c>
      <c r="E17" s="7"/>
      <c r="F17" s="22" t="e">
        <f t="shared" si="0"/>
        <v>#DIV/0!</v>
      </c>
      <c r="G17" s="8"/>
      <c r="I17" s="75"/>
      <c r="J17" s="67"/>
      <c r="K17" s="19" t="s">
        <v>49</v>
      </c>
      <c r="L17" s="5"/>
      <c r="M17" s="30" t="e">
        <f t="shared" si="1"/>
        <v>#DIV/0!</v>
      </c>
      <c r="N17" s="8"/>
    </row>
    <row r="18" spans="1:14" x14ac:dyDescent="0.25">
      <c r="B18" s="63"/>
      <c r="C18" s="71"/>
      <c r="D18" s="19" t="s">
        <v>106</v>
      </c>
      <c r="E18" s="7"/>
      <c r="F18" s="22" t="e">
        <f t="shared" si="0"/>
        <v>#DIV/0!</v>
      </c>
      <c r="G18" s="8"/>
      <c r="I18" s="75"/>
      <c r="J18" s="67"/>
      <c r="K18" s="19" t="s">
        <v>50</v>
      </c>
      <c r="L18" s="5"/>
      <c r="M18" s="30" t="e">
        <f t="shared" si="1"/>
        <v>#DIV/0!</v>
      </c>
      <c r="N18" s="8"/>
    </row>
    <row r="19" spans="1:14" x14ac:dyDescent="0.25">
      <c r="B19" s="63"/>
      <c r="C19" s="71"/>
      <c r="D19" s="19" t="s">
        <v>107</v>
      </c>
      <c r="E19" s="7"/>
      <c r="F19" s="22" t="e">
        <f t="shared" si="0"/>
        <v>#DIV/0!</v>
      </c>
      <c r="G19" s="8"/>
      <c r="I19" s="75"/>
      <c r="J19" s="67"/>
      <c r="K19" s="19" t="s">
        <v>51</v>
      </c>
      <c r="L19" s="5"/>
      <c r="M19" s="30" t="e">
        <f t="shared" si="1"/>
        <v>#DIV/0!</v>
      </c>
      <c r="N19" s="8"/>
    </row>
    <row r="20" spans="1:14" x14ac:dyDescent="0.25">
      <c r="B20" s="63"/>
      <c r="C20" s="72"/>
      <c r="D20" s="19" t="s">
        <v>108</v>
      </c>
      <c r="E20" s="7"/>
      <c r="F20" s="22" t="e">
        <f t="shared" si="0"/>
        <v>#DIV/0!</v>
      </c>
      <c r="G20" s="8"/>
      <c r="I20" s="75"/>
      <c r="J20" s="67"/>
      <c r="K20" s="19" t="s">
        <v>52</v>
      </c>
      <c r="L20" s="5"/>
      <c r="M20" s="30" t="e">
        <f t="shared" si="1"/>
        <v>#DIV/0!</v>
      </c>
      <c r="N20" s="8"/>
    </row>
    <row r="21" spans="1:14" x14ac:dyDescent="0.25">
      <c r="B21" s="63"/>
      <c r="C21" s="73" t="s">
        <v>110</v>
      </c>
      <c r="D21" s="19" t="s">
        <v>111</v>
      </c>
      <c r="E21" s="7"/>
      <c r="F21" s="22" t="e">
        <f t="shared" si="0"/>
        <v>#DIV/0!</v>
      </c>
      <c r="G21" s="8"/>
      <c r="I21" s="75"/>
      <c r="J21" s="67"/>
      <c r="K21" s="19" t="s">
        <v>53</v>
      </c>
      <c r="L21" s="5"/>
      <c r="M21" s="30" t="e">
        <f t="shared" si="1"/>
        <v>#DIV/0!</v>
      </c>
      <c r="N21" s="8"/>
    </row>
    <row r="22" spans="1:14" x14ac:dyDescent="0.25">
      <c r="B22" s="63"/>
      <c r="C22" s="71"/>
      <c r="D22" s="19" t="s">
        <v>112</v>
      </c>
      <c r="E22" s="7"/>
      <c r="F22" s="22" t="e">
        <f t="shared" si="0"/>
        <v>#DIV/0!</v>
      </c>
      <c r="G22" s="8"/>
      <c r="I22" s="75"/>
      <c r="J22" s="67"/>
      <c r="K22" s="19" t="s">
        <v>54</v>
      </c>
      <c r="L22" s="5"/>
      <c r="M22" s="30" t="e">
        <f t="shared" si="1"/>
        <v>#DIV/0!</v>
      </c>
      <c r="N22" s="8"/>
    </row>
    <row r="23" spans="1:14" x14ac:dyDescent="0.25">
      <c r="B23" s="63"/>
      <c r="C23" s="71"/>
      <c r="D23" s="19" t="s">
        <v>113</v>
      </c>
      <c r="E23" s="7"/>
      <c r="F23" s="22" t="e">
        <f t="shared" si="0"/>
        <v>#DIV/0!</v>
      </c>
      <c r="G23" s="8"/>
      <c r="I23" s="75"/>
      <c r="J23" s="67" t="s">
        <v>55</v>
      </c>
      <c r="K23" s="19" t="s">
        <v>56</v>
      </c>
      <c r="L23" s="5"/>
      <c r="M23" s="30" t="e">
        <f t="shared" si="1"/>
        <v>#DIV/0!</v>
      </c>
      <c r="N23" s="8"/>
    </row>
    <row r="24" spans="1:14" x14ac:dyDescent="0.25">
      <c r="A24" s="12"/>
      <c r="B24" s="63"/>
      <c r="C24" s="72"/>
      <c r="D24" s="19" t="s">
        <v>114</v>
      </c>
      <c r="E24" s="7"/>
      <c r="F24" s="22" t="e">
        <f t="shared" si="0"/>
        <v>#DIV/0!</v>
      </c>
      <c r="G24" s="8"/>
      <c r="I24" s="75"/>
      <c r="J24" s="67"/>
      <c r="K24" s="19" t="s">
        <v>57</v>
      </c>
      <c r="L24" s="5"/>
      <c r="M24" s="30" t="e">
        <f t="shared" si="1"/>
        <v>#DIV/0!</v>
      </c>
      <c r="N24" s="8"/>
    </row>
    <row r="25" spans="1:14" x14ac:dyDescent="0.25">
      <c r="B25" s="63"/>
      <c r="C25" s="73" t="s">
        <v>115</v>
      </c>
      <c r="D25" s="19" t="s">
        <v>116</v>
      </c>
      <c r="E25" s="7"/>
      <c r="F25" s="22" t="e">
        <f t="shared" si="0"/>
        <v>#DIV/0!</v>
      </c>
      <c r="G25" s="8"/>
      <c r="I25" s="75"/>
      <c r="J25" s="67"/>
      <c r="K25" s="19" t="s">
        <v>58</v>
      </c>
      <c r="L25" s="5"/>
      <c r="M25" s="30" t="e">
        <f t="shared" si="1"/>
        <v>#DIV/0!</v>
      </c>
      <c r="N25" s="8"/>
    </row>
    <row r="26" spans="1:14" x14ac:dyDescent="0.25">
      <c r="B26" s="63"/>
      <c r="C26" s="71"/>
      <c r="D26" s="19" t="s">
        <v>117</v>
      </c>
      <c r="E26" s="7"/>
      <c r="F26" s="22" t="e">
        <f t="shared" si="0"/>
        <v>#DIV/0!</v>
      </c>
      <c r="G26" s="8"/>
      <c r="I26" s="75"/>
      <c r="J26" s="67"/>
      <c r="K26" s="19" t="s">
        <v>59</v>
      </c>
      <c r="L26" s="5"/>
      <c r="M26" s="30" t="e">
        <f t="shared" si="1"/>
        <v>#DIV/0!</v>
      </c>
      <c r="N26" s="8"/>
    </row>
    <row r="27" spans="1:14" x14ac:dyDescent="0.25">
      <c r="B27" s="63"/>
      <c r="C27" s="71"/>
      <c r="D27" s="19" t="s">
        <v>118</v>
      </c>
      <c r="E27" s="7"/>
      <c r="F27" s="22" t="e">
        <f t="shared" si="0"/>
        <v>#DIV/0!</v>
      </c>
      <c r="G27" s="8"/>
      <c r="I27" s="75"/>
      <c r="J27" s="67"/>
      <c r="K27" s="19" t="s">
        <v>60</v>
      </c>
      <c r="L27" s="5"/>
      <c r="M27" s="30" t="e">
        <f t="shared" si="1"/>
        <v>#DIV/0!</v>
      </c>
      <c r="N27" s="8"/>
    </row>
    <row r="28" spans="1:14" ht="15.75" thickBot="1" x14ac:dyDescent="0.3">
      <c r="B28" s="63"/>
      <c r="C28" s="71"/>
      <c r="D28" s="20" t="s">
        <v>119</v>
      </c>
      <c r="E28" s="9"/>
      <c r="F28" s="23" t="e">
        <f t="shared" si="0"/>
        <v>#DIV/0!</v>
      </c>
      <c r="G28" s="10"/>
      <c r="I28" s="75"/>
      <c r="J28" s="67"/>
      <c r="K28" s="19" t="s">
        <v>61</v>
      </c>
      <c r="L28" s="5"/>
      <c r="M28" s="30" t="e">
        <f t="shared" si="1"/>
        <v>#DIV/0!</v>
      </c>
      <c r="N28" s="8"/>
    </row>
    <row r="29" spans="1:14" ht="15.75" thickBot="1" x14ac:dyDescent="0.3">
      <c r="B29" s="59" t="s">
        <v>120</v>
      </c>
      <c r="C29" s="60"/>
      <c r="D29" s="61"/>
      <c r="E29" s="39">
        <f>SUM(E7:E28)</f>
        <v>0</v>
      </c>
      <c r="F29" s="40" t="e">
        <f>SUM(F7:F28)</f>
        <v>#DIV/0!</v>
      </c>
      <c r="G29" s="34"/>
      <c r="I29" s="75"/>
      <c r="J29" s="67"/>
      <c r="K29" s="19" t="s">
        <v>62</v>
      </c>
      <c r="L29" s="5"/>
      <c r="M29" s="30" t="e">
        <f t="shared" si="1"/>
        <v>#DIV/0!</v>
      </c>
      <c r="N29" s="8"/>
    </row>
    <row r="30" spans="1:14" x14ac:dyDescent="0.25">
      <c r="B30" s="14"/>
      <c r="C30" s="15"/>
      <c r="F30" s="16"/>
      <c r="I30" s="75"/>
      <c r="J30" s="67" t="s">
        <v>63</v>
      </c>
      <c r="K30" s="19" t="s">
        <v>64</v>
      </c>
      <c r="L30" s="5"/>
      <c r="M30" s="30" t="e">
        <f t="shared" si="1"/>
        <v>#DIV/0!</v>
      </c>
      <c r="N30" s="8"/>
    </row>
    <row r="31" spans="1:14" x14ac:dyDescent="0.25">
      <c r="B31" s="14"/>
      <c r="C31" s="15"/>
      <c r="F31" s="16"/>
      <c r="I31" s="75"/>
      <c r="J31" s="67"/>
      <c r="K31" s="19" t="s">
        <v>65</v>
      </c>
      <c r="L31" s="5"/>
      <c r="M31" s="30" t="e">
        <f t="shared" si="1"/>
        <v>#DIV/0!</v>
      </c>
      <c r="N31" s="8"/>
    </row>
    <row r="32" spans="1:14" x14ac:dyDescent="0.25">
      <c r="B32" s="14"/>
      <c r="C32" s="15"/>
      <c r="F32" s="16"/>
      <c r="I32" s="75"/>
      <c r="J32" s="67"/>
      <c r="K32" s="19" t="s">
        <v>66</v>
      </c>
      <c r="L32" s="5"/>
      <c r="M32" s="30" t="e">
        <f t="shared" si="1"/>
        <v>#DIV/0!</v>
      </c>
      <c r="N32" s="8"/>
    </row>
    <row r="33" spans="2:14" x14ac:dyDescent="0.25">
      <c r="B33" s="14"/>
      <c r="C33" s="15"/>
      <c r="F33" s="16"/>
      <c r="I33" s="75"/>
      <c r="J33" s="67"/>
      <c r="K33" s="19" t="s">
        <v>67</v>
      </c>
      <c r="L33" s="5"/>
      <c r="M33" s="30" t="e">
        <f t="shared" si="1"/>
        <v>#DIV/0!</v>
      </c>
      <c r="N33" s="8"/>
    </row>
    <row r="34" spans="2:14" x14ac:dyDescent="0.25">
      <c r="B34" s="14"/>
      <c r="C34" s="15"/>
      <c r="F34" s="16"/>
      <c r="I34" s="75"/>
      <c r="J34" s="67"/>
      <c r="K34" s="19" t="s">
        <v>68</v>
      </c>
      <c r="L34" s="5"/>
      <c r="M34" s="30" t="e">
        <f t="shared" si="1"/>
        <v>#DIV/0!</v>
      </c>
      <c r="N34" s="8"/>
    </row>
    <row r="35" spans="2:14" x14ac:dyDescent="0.25">
      <c r="B35" s="14"/>
      <c r="C35" s="15"/>
      <c r="F35" s="16"/>
      <c r="I35" s="75"/>
      <c r="J35" s="67"/>
      <c r="K35" s="19" t="s">
        <v>69</v>
      </c>
      <c r="L35" s="5"/>
      <c r="M35" s="30" t="e">
        <f t="shared" si="1"/>
        <v>#DIV/0!</v>
      </c>
      <c r="N35" s="8"/>
    </row>
    <row r="36" spans="2:14" x14ac:dyDescent="0.25">
      <c r="B36" s="14"/>
      <c r="C36" s="15"/>
      <c r="F36" s="16"/>
      <c r="I36" s="75"/>
      <c r="J36" s="67"/>
      <c r="K36" s="19" t="s">
        <v>70</v>
      </c>
      <c r="L36" s="5"/>
      <c r="M36" s="30" t="e">
        <f t="shared" si="1"/>
        <v>#DIV/0!</v>
      </c>
      <c r="N36" s="8"/>
    </row>
    <row r="37" spans="2:14" x14ac:dyDescent="0.25">
      <c r="B37" s="14"/>
      <c r="C37" s="15"/>
      <c r="F37" s="16"/>
      <c r="I37" s="75"/>
      <c r="J37" s="67"/>
      <c r="K37" s="19" t="s">
        <v>71</v>
      </c>
      <c r="L37" s="5"/>
      <c r="M37" s="30" t="e">
        <f t="shared" si="1"/>
        <v>#DIV/0!</v>
      </c>
      <c r="N37" s="8"/>
    </row>
    <row r="38" spans="2:14" ht="15" customHeight="1" x14ac:dyDescent="0.25">
      <c r="B38" s="14"/>
      <c r="C38" s="77"/>
      <c r="F38" s="16"/>
      <c r="I38" s="75"/>
      <c r="J38" s="67" t="s">
        <v>129</v>
      </c>
      <c r="K38" s="19" t="s">
        <v>130</v>
      </c>
      <c r="L38" s="5"/>
      <c r="M38" s="30" t="e">
        <f t="shared" si="1"/>
        <v>#DIV/0!</v>
      </c>
      <c r="N38" s="8"/>
    </row>
    <row r="39" spans="2:14" x14ac:dyDescent="0.25">
      <c r="B39" s="14"/>
      <c r="C39" s="77"/>
      <c r="F39" s="16"/>
      <c r="I39" s="75"/>
      <c r="J39" s="67"/>
      <c r="K39" s="19" t="s">
        <v>131</v>
      </c>
      <c r="L39" s="5"/>
      <c r="M39" s="30" t="e">
        <f t="shared" si="1"/>
        <v>#DIV/0!</v>
      </c>
      <c r="N39" s="8"/>
    </row>
    <row r="40" spans="2:14" ht="15" customHeight="1" x14ac:dyDescent="0.25">
      <c r="B40" s="14"/>
      <c r="C40" s="77"/>
      <c r="F40" s="16"/>
      <c r="I40" s="75"/>
      <c r="J40" s="67" t="s">
        <v>126</v>
      </c>
      <c r="K40" s="19" t="s">
        <v>72</v>
      </c>
      <c r="L40" s="5"/>
      <c r="M40" s="30" t="e">
        <f t="shared" si="1"/>
        <v>#DIV/0!</v>
      </c>
      <c r="N40" s="8"/>
    </row>
    <row r="41" spans="2:14" x14ac:dyDescent="0.25">
      <c r="B41" s="14"/>
      <c r="C41" s="77"/>
      <c r="F41" s="16"/>
      <c r="I41" s="75"/>
      <c r="J41" s="67"/>
      <c r="K41" s="19" t="s">
        <v>73</v>
      </c>
      <c r="L41" s="5"/>
      <c r="M41" s="30" t="e">
        <f t="shared" si="1"/>
        <v>#DIV/0!</v>
      </c>
      <c r="N41" s="8"/>
    </row>
    <row r="42" spans="2:14" x14ac:dyDescent="0.25">
      <c r="B42" s="14"/>
      <c r="C42" s="77"/>
      <c r="F42" s="16"/>
      <c r="I42" s="75"/>
      <c r="J42" s="67"/>
      <c r="K42" s="19" t="s">
        <v>74</v>
      </c>
      <c r="L42" s="5"/>
      <c r="M42" s="30" t="e">
        <f t="shared" si="1"/>
        <v>#DIV/0!</v>
      </c>
      <c r="N42" s="8"/>
    </row>
    <row r="43" spans="2:14" x14ac:dyDescent="0.25">
      <c r="B43" s="14"/>
      <c r="C43" s="77"/>
      <c r="F43" s="16"/>
      <c r="I43" s="75"/>
      <c r="J43" s="67"/>
      <c r="K43" s="19" t="s">
        <v>75</v>
      </c>
      <c r="L43" s="5"/>
      <c r="M43" s="30" t="e">
        <f t="shared" si="1"/>
        <v>#DIV/0!</v>
      </c>
      <c r="N43" s="8"/>
    </row>
    <row r="44" spans="2:14" x14ac:dyDescent="0.25">
      <c r="B44" s="14"/>
      <c r="C44" s="77"/>
      <c r="F44" s="16"/>
      <c r="I44" s="75"/>
      <c r="J44" s="67"/>
      <c r="K44" s="19" t="s">
        <v>76</v>
      </c>
      <c r="L44" s="5"/>
      <c r="M44" s="30" t="e">
        <f t="shared" si="1"/>
        <v>#DIV/0!</v>
      </c>
      <c r="N44" s="8"/>
    </row>
    <row r="45" spans="2:14" x14ac:dyDescent="0.25">
      <c r="B45" s="14"/>
      <c r="C45" s="77"/>
      <c r="F45" s="16"/>
      <c r="I45" s="75"/>
      <c r="J45" s="67"/>
      <c r="K45" s="19" t="s">
        <v>77</v>
      </c>
      <c r="L45" s="5"/>
      <c r="M45" s="30" t="e">
        <f t="shared" si="1"/>
        <v>#DIV/0!</v>
      </c>
      <c r="N45" s="8"/>
    </row>
    <row r="46" spans="2:14" x14ac:dyDescent="0.25">
      <c r="B46" s="14"/>
      <c r="C46" s="77"/>
      <c r="F46" s="16"/>
      <c r="I46" s="75"/>
      <c r="J46" s="67"/>
      <c r="K46" s="19" t="s">
        <v>78</v>
      </c>
      <c r="L46" s="5"/>
      <c r="M46" s="30" t="e">
        <f t="shared" si="1"/>
        <v>#DIV/0!</v>
      </c>
      <c r="N46" s="8"/>
    </row>
    <row r="47" spans="2:14" ht="15" customHeight="1" x14ac:dyDescent="0.25">
      <c r="B47" s="14"/>
      <c r="C47" s="77"/>
      <c r="F47" s="16"/>
      <c r="I47" s="75"/>
      <c r="J47" s="67" t="s">
        <v>83</v>
      </c>
      <c r="K47" s="19" t="s">
        <v>79</v>
      </c>
      <c r="L47" s="5"/>
      <c r="M47" s="30" t="e">
        <f t="shared" si="1"/>
        <v>#DIV/0!</v>
      </c>
      <c r="N47" s="8"/>
    </row>
    <row r="48" spans="2:14" x14ac:dyDescent="0.25">
      <c r="B48" s="14"/>
      <c r="C48" s="77"/>
      <c r="F48" s="16"/>
      <c r="I48" s="75"/>
      <c r="J48" s="67"/>
      <c r="K48" s="19" t="s">
        <v>80</v>
      </c>
      <c r="L48" s="5"/>
      <c r="M48" s="30" t="e">
        <f t="shared" si="1"/>
        <v>#DIV/0!</v>
      </c>
      <c r="N48" s="8"/>
    </row>
    <row r="49" spans="2:14" x14ac:dyDescent="0.25">
      <c r="B49" s="14"/>
      <c r="C49" s="77"/>
      <c r="F49" s="16"/>
      <c r="I49" s="75"/>
      <c r="J49" s="67"/>
      <c r="K49" s="19" t="s">
        <v>81</v>
      </c>
      <c r="L49" s="5"/>
      <c r="M49" s="30" t="e">
        <f t="shared" si="1"/>
        <v>#DIV/0!</v>
      </c>
      <c r="N49" s="8"/>
    </row>
    <row r="50" spans="2:14" x14ac:dyDescent="0.25">
      <c r="B50" s="14"/>
      <c r="C50" s="77"/>
      <c r="F50" s="16"/>
      <c r="I50" s="75"/>
      <c r="J50" s="67"/>
      <c r="K50" s="19" t="s">
        <v>82</v>
      </c>
      <c r="L50" s="5"/>
      <c r="M50" s="30" t="e">
        <f t="shared" si="1"/>
        <v>#DIV/0!</v>
      </c>
      <c r="N50" s="8"/>
    </row>
    <row r="51" spans="2:14" x14ac:dyDescent="0.25">
      <c r="B51" s="14"/>
      <c r="C51" s="77"/>
      <c r="F51" s="16"/>
      <c r="I51" s="75"/>
      <c r="J51" s="67"/>
      <c r="K51" s="19" t="s">
        <v>84</v>
      </c>
      <c r="L51" s="5"/>
      <c r="M51" s="30" t="e">
        <f t="shared" si="1"/>
        <v>#DIV/0!</v>
      </c>
      <c r="N51" s="8"/>
    </row>
    <row r="52" spans="2:14" x14ac:dyDescent="0.25">
      <c r="B52" s="14"/>
      <c r="C52" s="77"/>
      <c r="F52" s="16"/>
      <c r="I52" s="75"/>
      <c r="J52" s="67"/>
      <c r="K52" s="19" t="s">
        <v>85</v>
      </c>
      <c r="L52" s="5"/>
      <c r="M52" s="30" t="e">
        <f t="shared" si="1"/>
        <v>#DIV/0!</v>
      </c>
      <c r="N52" s="8"/>
    </row>
    <row r="53" spans="2:14" x14ac:dyDescent="0.25">
      <c r="B53" s="14"/>
      <c r="C53" s="77"/>
      <c r="F53" s="16"/>
      <c r="I53" s="75"/>
      <c r="J53" s="67"/>
      <c r="K53" s="19" t="s">
        <v>86</v>
      </c>
      <c r="L53" s="5"/>
      <c r="M53" s="30" t="e">
        <f t="shared" si="1"/>
        <v>#DIV/0!</v>
      </c>
      <c r="N53" s="8"/>
    </row>
    <row r="54" spans="2:14" x14ac:dyDescent="0.25">
      <c r="B54" s="14"/>
      <c r="C54" s="77"/>
      <c r="F54" s="16"/>
      <c r="I54" s="75"/>
      <c r="J54" s="67"/>
      <c r="K54" s="19" t="s">
        <v>87</v>
      </c>
      <c r="L54" s="5"/>
      <c r="M54" s="30" t="e">
        <f t="shared" si="1"/>
        <v>#DIV/0!</v>
      </c>
      <c r="N54" s="8"/>
    </row>
    <row r="55" spans="2:14" ht="15" customHeight="1" x14ac:dyDescent="0.25">
      <c r="B55" s="14"/>
      <c r="C55" s="77"/>
      <c r="F55" s="16"/>
      <c r="I55" s="75"/>
      <c r="J55" s="67" t="s">
        <v>127</v>
      </c>
      <c r="K55" s="19" t="s">
        <v>88</v>
      </c>
      <c r="L55" s="5"/>
      <c r="M55" s="30" t="e">
        <f t="shared" si="1"/>
        <v>#DIV/0!</v>
      </c>
      <c r="N55" s="8"/>
    </row>
    <row r="56" spans="2:14" x14ac:dyDescent="0.25">
      <c r="B56" s="14"/>
      <c r="C56" s="77"/>
      <c r="F56" s="16"/>
      <c r="I56" s="75"/>
      <c r="J56" s="67"/>
      <c r="K56" s="19" t="s">
        <v>72</v>
      </c>
      <c r="L56" s="5"/>
      <c r="M56" s="30" t="e">
        <f t="shared" si="1"/>
        <v>#DIV/0!</v>
      </c>
      <c r="N56" s="8"/>
    </row>
    <row r="57" spans="2:14" x14ac:dyDescent="0.25">
      <c r="B57" s="14"/>
      <c r="C57" s="77"/>
      <c r="F57" s="16"/>
      <c r="I57" s="75"/>
      <c r="J57" s="67"/>
      <c r="K57" s="19" t="s">
        <v>89</v>
      </c>
      <c r="L57" s="5"/>
      <c r="M57" s="30" t="e">
        <f t="shared" si="1"/>
        <v>#DIV/0!</v>
      </c>
      <c r="N57" s="8"/>
    </row>
    <row r="58" spans="2:14" x14ac:dyDescent="0.25">
      <c r="B58" s="14"/>
      <c r="C58" s="78"/>
      <c r="F58" s="16"/>
      <c r="I58" s="75"/>
      <c r="J58" s="67" t="s">
        <v>132</v>
      </c>
      <c r="K58" s="19" t="s">
        <v>90</v>
      </c>
      <c r="L58" s="5"/>
      <c r="M58" s="30" t="e">
        <f t="shared" si="1"/>
        <v>#DIV/0!</v>
      </c>
      <c r="N58" s="8"/>
    </row>
    <row r="59" spans="2:14" x14ac:dyDescent="0.25">
      <c r="B59" s="14"/>
      <c r="C59" s="78"/>
      <c r="F59" s="16"/>
      <c r="I59" s="75"/>
      <c r="J59" s="68"/>
      <c r="K59" s="19" t="s">
        <v>91</v>
      </c>
      <c r="L59" s="5"/>
      <c r="M59" s="30" t="e">
        <f t="shared" si="1"/>
        <v>#DIV/0!</v>
      </c>
      <c r="N59" s="8"/>
    </row>
    <row r="60" spans="2:14" x14ac:dyDescent="0.25">
      <c r="B60" s="14"/>
      <c r="C60" s="78"/>
      <c r="F60" s="16"/>
      <c r="I60" s="75"/>
      <c r="J60" s="68"/>
      <c r="K60" s="19" t="s">
        <v>92</v>
      </c>
      <c r="L60" s="5"/>
      <c r="M60" s="30" t="e">
        <f t="shared" si="1"/>
        <v>#DIV/0!</v>
      </c>
      <c r="N60" s="8"/>
    </row>
    <row r="61" spans="2:14" ht="15.75" thickBot="1" x14ac:dyDescent="0.3">
      <c r="B61" s="14"/>
      <c r="C61" s="78"/>
      <c r="F61" s="16"/>
      <c r="I61" s="76"/>
      <c r="J61" s="69"/>
      <c r="K61" s="24" t="s">
        <v>93</v>
      </c>
      <c r="L61" s="5"/>
      <c r="M61" s="30" t="e">
        <f t="shared" si="1"/>
        <v>#DIV/0!</v>
      </c>
      <c r="N61" s="17"/>
    </row>
    <row r="62" spans="2:14" ht="15.75" thickBot="1" x14ac:dyDescent="0.3">
      <c r="I62" s="59" t="s">
        <v>94</v>
      </c>
      <c r="J62" s="60"/>
      <c r="K62" s="61"/>
      <c r="L62" s="39">
        <f>SUM(L7:L61)</f>
        <v>0</v>
      </c>
      <c r="M62" s="40" t="e">
        <f>SUM(M7:M61)</f>
        <v>#DIV/0!</v>
      </c>
      <c r="N62" s="35"/>
    </row>
  </sheetData>
  <sheetProtection algorithmName="SHA-512" hashValue="zzQT9tLgF/bxDBQJtw46Ke6ziUNUvF/exPIyHsHQ4lTFc+XWVvt3RHzR5PLG6YQMpHwBuCDpHWit/ISq/KBlRg==" saltValue="+QNU/AWDiXUkbIST+noJ2A==" spinCount="100000" sheet="1" objects="1" scenarios="1" selectLockedCells="1"/>
  <mergeCells count="32">
    <mergeCell ref="C38:C39"/>
    <mergeCell ref="C4:G4"/>
    <mergeCell ref="J4:N4"/>
    <mergeCell ref="F2:G2"/>
    <mergeCell ref="B2:E2"/>
    <mergeCell ref="I2:L2"/>
    <mergeCell ref="M2:N2"/>
    <mergeCell ref="C40:C46"/>
    <mergeCell ref="C47:C54"/>
    <mergeCell ref="C55:C57"/>
    <mergeCell ref="C58:C61"/>
    <mergeCell ref="J16:J22"/>
    <mergeCell ref="J23:J29"/>
    <mergeCell ref="J30:J37"/>
    <mergeCell ref="J38:J39"/>
    <mergeCell ref="J40:J46"/>
    <mergeCell ref="I62:K62"/>
    <mergeCell ref="B7:B28"/>
    <mergeCell ref="B5:G5"/>
    <mergeCell ref="I5:N5"/>
    <mergeCell ref="J47:J54"/>
    <mergeCell ref="J55:J57"/>
    <mergeCell ref="J58:J61"/>
    <mergeCell ref="C7:C13"/>
    <mergeCell ref="C14:C20"/>
    <mergeCell ref="C21:C24"/>
    <mergeCell ref="C25:C28"/>
    <mergeCell ref="B29:D29"/>
    <mergeCell ref="I7:I61"/>
    <mergeCell ref="J7:J9"/>
    <mergeCell ref="J10:J13"/>
    <mergeCell ref="J14:J1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E991D-382E-4C52-A503-857360080775}">
  <dimension ref="B2:P75"/>
  <sheetViews>
    <sheetView zoomScaleNormal="100" workbookViewId="0">
      <selection activeCell="K5" sqref="K5:P5"/>
    </sheetView>
  </sheetViews>
  <sheetFormatPr baseColWidth="10" defaultColWidth="9.140625" defaultRowHeight="15" x14ac:dyDescent="0.25"/>
  <cols>
    <col min="1" max="9" width="9.140625" style="2"/>
    <col min="10" max="10" width="52.28515625" style="2" customWidth="1"/>
    <col min="11" max="11" width="51.7109375" style="2" customWidth="1"/>
    <col min="12" max="12" width="19.140625" style="2" customWidth="1"/>
    <col min="13" max="14" width="13" style="2" customWidth="1"/>
    <col min="15" max="15" width="10.5703125" style="2" customWidth="1"/>
    <col min="16" max="16" width="12.7109375" style="2" customWidth="1"/>
    <col min="17" max="16384" width="9.140625" style="2"/>
  </cols>
  <sheetData>
    <row r="2" spans="2:16" x14ac:dyDescent="0.25">
      <c r="B2" s="158" t="s">
        <v>169</v>
      </c>
      <c r="C2" s="158"/>
      <c r="D2" s="158"/>
      <c r="E2" s="158"/>
      <c r="F2" s="158"/>
      <c r="G2" s="158"/>
      <c r="H2" s="158"/>
      <c r="I2" s="158"/>
      <c r="J2" s="158"/>
      <c r="K2" s="157" t="s">
        <v>123</v>
      </c>
      <c r="L2" s="157"/>
      <c r="M2" s="157"/>
      <c r="N2" s="157"/>
    </row>
    <row r="3" spans="2:16" x14ac:dyDescent="0.25">
      <c r="B3" s="1"/>
      <c r="C3" s="1"/>
      <c r="D3" s="1"/>
      <c r="E3" s="1"/>
      <c r="F3" s="1"/>
      <c r="G3" s="1"/>
      <c r="H3" s="1"/>
      <c r="J3" s="3"/>
      <c r="K3" s="3"/>
      <c r="L3" s="3"/>
      <c r="M3" s="3"/>
      <c r="N3" s="3"/>
    </row>
    <row r="4" spans="2:16" ht="15.75" thickBot="1" x14ac:dyDescent="0.3">
      <c r="J4" s="81" t="s">
        <v>0</v>
      </c>
      <c r="K4" s="81"/>
      <c r="L4" s="81"/>
      <c r="M4" s="81"/>
      <c r="N4" s="81"/>
      <c r="O4" s="81"/>
      <c r="P4" s="81"/>
    </row>
    <row r="5" spans="2:16" ht="15.75" thickBot="1" x14ac:dyDescent="0.3">
      <c r="J5" s="55" t="s">
        <v>3</v>
      </c>
      <c r="K5" s="96"/>
      <c r="L5" s="97"/>
      <c r="M5" s="97"/>
      <c r="N5" s="97"/>
      <c r="O5" s="97"/>
      <c r="P5" s="98"/>
    </row>
    <row r="6" spans="2:16" ht="30.75" customHeight="1" thickBot="1" x14ac:dyDescent="0.3">
      <c r="J6" s="64" t="s">
        <v>1</v>
      </c>
      <c r="K6" s="65"/>
      <c r="L6" s="66"/>
      <c r="M6" s="79" t="s">
        <v>172</v>
      </c>
      <c r="N6" s="82" t="s">
        <v>170</v>
      </c>
      <c r="O6" s="82" t="s">
        <v>2</v>
      </c>
      <c r="P6" s="84" t="s">
        <v>167</v>
      </c>
    </row>
    <row r="7" spans="2:16" ht="15.75" thickBot="1" x14ac:dyDescent="0.3">
      <c r="J7" s="55" t="s">
        <v>133</v>
      </c>
      <c r="K7" s="56" t="s">
        <v>134</v>
      </c>
      <c r="L7" s="57" t="s">
        <v>28</v>
      </c>
      <c r="M7" s="80"/>
      <c r="N7" s="83"/>
      <c r="O7" s="83"/>
      <c r="P7" s="85"/>
    </row>
    <row r="8" spans="2:16" ht="15.75" thickBot="1" x14ac:dyDescent="0.3">
      <c r="J8" s="109" t="s">
        <v>143</v>
      </c>
      <c r="K8" s="133" t="s">
        <v>6</v>
      </c>
      <c r="L8" s="134"/>
      <c r="M8" s="54" t="s">
        <v>142</v>
      </c>
      <c r="N8" s="49">
        <f>SUM(L8:L16)</f>
        <v>0</v>
      </c>
      <c r="O8" s="45" t="e">
        <f>100/SQRT(N8)</f>
        <v>#DIV/0!</v>
      </c>
      <c r="P8" s="13" t="e">
        <f>N8/$N$44</f>
        <v>#DIV/0!</v>
      </c>
    </row>
    <row r="9" spans="2:16" x14ac:dyDescent="0.25">
      <c r="J9" s="110"/>
      <c r="K9" s="135" t="s">
        <v>4</v>
      </c>
      <c r="L9" s="136"/>
      <c r="M9" s="25"/>
      <c r="N9" s="25"/>
      <c r="O9" s="26"/>
      <c r="P9" s="27"/>
    </row>
    <row r="10" spans="2:16" x14ac:dyDescent="0.25">
      <c r="J10" s="110"/>
      <c r="K10" s="135" t="s">
        <v>5</v>
      </c>
      <c r="L10" s="136"/>
      <c r="M10" s="25"/>
      <c r="N10" s="25"/>
      <c r="O10" s="26"/>
      <c r="P10" s="27"/>
    </row>
    <row r="11" spans="2:16" x14ac:dyDescent="0.25">
      <c r="J11" s="110"/>
      <c r="K11" s="135" t="s">
        <v>7</v>
      </c>
      <c r="L11" s="136"/>
      <c r="M11" s="25"/>
      <c r="N11" s="25"/>
      <c r="O11" s="26"/>
      <c r="P11" s="27"/>
    </row>
    <row r="12" spans="2:16" x14ac:dyDescent="0.25">
      <c r="J12" s="110"/>
      <c r="K12" s="135" t="s">
        <v>8</v>
      </c>
      <c r="L12" s="136"/>
      <c r="M12" s="25"/>
      <c r="N12" s="25"/>
      <c r="O12" s="26"/>
      <c r="P12" s="27"/>
    </row>
    <row r="13" spans="2:16" x14ac:dyDescent="0.25">
      <c r="J13" s="110"/>
      <c r="K13" s="135" t="s">
        <v>9</v>
      </c>
      <c r="L13" s="136"/>
      <c r="M13" s="25"/>
      <c r="N13" s="25"/>
      <c r="O13" s="26"/>
      <c r="P13" s="27"/>
    </row>
    <row r="14" spans="2:16" x14ac:dyDescent="0.25">
      <c r="J14" s="110"/>
      <c r="K14" s="135" t="s">
        <v>10</v>
      </c>
      <c r="L14" s="136"/>
      <c r="M14" s="25"/>
      <c r="N14" s="25"/>
      <c r="O14" s="26"/>
      <c r="P14" s="27"/>
    </row>
    <row r="15" spans="2:16" x14ac:dyDescent="0.25">
      <c r="J15" s="110"/>
      <c r="K15" s="135" t="s">
        <v>11</v>
      </c>
      <c r="L15" s="136"/>
      <c r="M15" s="25"/>
      <c r="N15" s="25"/>
      <c r="O15" s="26"/>
      <c r="P15" s="27"/>
    </row>
    <row r="16" spans="2:16" ht="15.75" thickBot="1" x14ac:dyDescent="0.3">
      <c r="J16" s="111"/>
      <c r="K16" s="137" t="s">
        <v>12</v>
      </c>
      <c r="L16" s="138"/>
      <c r="M16" s="32"/>
      <c r="N16" s="32"/>
      <c r="O16" s="28"/>
      <c r="P16" s="29"/>
    </row>
    <row r="17" spans="10:16" ht="15.75" thickBot="1" x14ac:dyDescent="0.3">
      <c r="J17" s="112" t="s">
        <v>141</v>
      </c>
      <c r="K17" s="139" t="s">
        <v>13</v>
      </c>
      <c r="L17" s="134"/>
      <c r="M17" s="52" t="s">
        <v>140</v>
      </c>
      <c r="N17" s="53">
        <f>SUM(L17:L23)</f>
        <v>0</v>
      </c>
      <c r="O17" s="45" t="e">
        <f>100/SQRT(N17)</f>
        <v>#DIV/0!</v>
      </c>
      <c r="P17" s="31" t="e">
        <f>N17/$N$44</f>
        <v>#DIV/0!</v>
      </c>
    </row>
    <row r="18" spans="10:16" x14ac:dyDescent="0.25">
      <c r="J18" s="113"/>
      <c r="K18" s="140" t="s">
        <v>14</v>
      </c>
      <c r="L18" s="136"/>
      <c r="M18" s="25"/>
      <c r="N18" s="25"/>
      <c r="O18" s="26"/>
      <c r="P18" s="27"/>
    </row>
    <row r="19" spans="10:16" x14ac:dyDescent="0.25">
      <c r="J19" s="113"/>
      <c r="K19" s="140" t="s">
        <v>15</v>
      </c>
      <c r="L19" s="136"/>
      <c r="M19" s="25"/>
      <c r="N19" s="25"/>
      <c r="O19" s="26"/>
      <c r="P19" s="27"/>
    </row>
    <row r="20" spans="10:16" x14ac:dyDescent="0.25">
      <c r="J20" s="113"/>
      <c r="K20" s="140" t="s">
        <v>16</v>
      </c>
      <c r="L20" s="136"/>
      <c r="M20" s="25"/>
      <c r="N20" s="25"/>
      <c r="O20" s="26"/>
      <c r="P20" s="27"/>
    </row>
    <row r="21" spans="10:16" x14ac:dyDescent="0.25">
      <c r="J21" s="113"/>
      <c r="K21" s="140" t="s">
        <v>17</v>
      </c>
      <c r="L21" s="136"/>
      <c r="M21" s="25"/>
      <c r="N21" s="25"/>
      <c r="O21" s="26"/>
      <c r="P21" s="27"/>
    </row>
    <row r="22" spans="10:16" x14ac:dyDescent="0.25">
      <c r="J22" s="113"/>
      <c r="K22" s="140" t="s">
        <v>18</v>
      </c>
      <c r="L22" s="136"/>
      <c r="M22" s="25"/>
      <c r="N22" s="25"/>
      <c r="O22" s="26"/>
      <c r="P22" s="27"/>
    </row>
    <row r="23" spans="10:16" ht="15.75" thickBot="1" x14ac:dyDescent="0.3">
      <c r="J23" s="114"/>
      <c r="K23" s="141" t="s">
        <v>19</v>
      </c>
      <c r="L23" s="138"/>
      <c r="M23" s="32"/>
      <c r="N23" s="32"/>
      <c r="O23" s="28"/>
      <c r="P23" s="29"/>
    </row>
    <row r="24" spans="10:16" ht="15.75" thickBot="1" x14ac:dyDescent="0.3">
      <c r="J24" s="115" t="s">
        <v>136</v>
      </c>
      <c r="K24" s="139" t="s">
        <v>20</v>
      </c>
      <c r="L24" s="134"/>
      <c r="M24" s="51" t="s">
        <v>135</v>
      </c>
      <c r="N24" s="53">
        <f>SUM(L24:L27)</f>
        <v>0</v>
      </c>
      <c r="O24" s="45" t="e">
        <f>100/SQRT(N24)</f>
        <v>#DIV/0!</v>
      </c>
      <c r="P24" s="13" t="e">
        <f>N24/$N$44</f>
        <v>#DIV/0!</v>
      </c>
    </row>
    <row r="25" spans="10:16" x14ac:dyDescent="0.25">
      <c r="J25" s="116"/>
      <c r="K25" s="140" t="s">
        <v>21</v>
      </c>
      <c r="L25" s="136"/>
      <c r="M25" s="25"/>
      <c r="N25" s="25"/>
      <c r="O25" s="26"/>
      <c r="P25" s="27"/>
    </row>
    <row r="26" spans="10:16" x14ac:dyDescent="0.25">
      <c r="J26" s="116"/>
      <c r="K26" s="140" t="s">
        <v>22</v>
      </c>
      <c r="L26" s="136"/>
      <c r="M26" s="25"/>
      <c r="N26" s="25"/>
      <c r="O26" s="26"/>
      <c r="P26" s="27"/>
    </row>
    <row r="27" spans="10:16" ht="15.75" thickBot="1" x14ac:dyDescent="0.3">
      <c r="J27" s="117"/>
      <c r="K27" s="141" t="s">
        <v>23</v>
      </c>
      <c r="L27" s="138"/>
      <c r="M27" s="32"/>
      <c r="N27" s="32"/>
      <c r="O27" s="28"/>
      <c r="P27" s="29"/>
    </row>
    <row r="28" spans="10:16" ht="15.75" thickBot="1" x14ac:dyDescent="0.3">
      <c r="J28" s="118" t="s">
        <v>138</v>
      </c>
      <c r="K28" s="139" t="s">
        <v>146</v>
      </c>
      <c r="L28" s="134"/>
      <c r="M28" s="50" t="s">
        <v>137</v>
      </c>
      <c r="N28" s="53">
        <f>SUM(L28:L29)</f>
        <v>0</v>
      </c>
      <c r="O28" s="45" t="e">
        <f>100/SQRT(N28)</f>
        <v>#DIV/0!</v>
      </c>
      <c r="P28" s="13" t="e">
        <f>N28/$N$44</f>
        <v>#DIV/0!</v>
      </c>
    </row>
    <row r="29" spans="10:16" ht="15.75" thickBot="1" x14ac:dyDescent="0.3">
      <c r="J29" s="119"/>
      <c r="K29" s="141" t="s">
        <v>145</v>
      </c>
      <c r="L29" s="138"/>
      <c r="M29" s="32"/>
      <c r="N29" s="32"/>
      <c r="O29" s="28"/>
      <c r="P29" s="29"/>
    </row>
    <row r="30" spans="10:16" ht="15.75" thickBot="1" x14ac:dyDescent="0.3">
      <c r="J30" s="120" t="s">
        <v>144</v>
      </c>
      <c r="K30" s="139" t="s">
        <v>24</v>
      </c>
      <c r="L30" s="134"/>
      <c r="M30" s="48" t="s">
        <v>139</v>
      </c>
      <c r="N30" s="53">
        <f>SUM(L30:L33)</f>
        <v>0</v>
      </c>
      <c r="O30" s="45" t="e">
        <f>100/SQRT(N30)</f>
        <v>#DIV/0!</v>
      </c>
      <c r="P30" s="13" t="e">
        <f>N30/$N$44</f>
        <v>#DIV/0!</v>
      </c>
    </row>
    <row r="31" spans="10:16" x14ac:dyDescent="0.25">
      <c r="J31" s="121"/>
      <c r="K31" s="140" t="s">
        <v>25</v>
      </c>
      <c r="L31" s="136"/>
      <c r="M31" s="25"/>
      <c r="N31" s="25"/>
      <c r="O31" s="26"/>
      <c r="P31" s="27"/>
    </row>
    <row r="32" spans="10:16" ht="15.75" customHeight="1" x14ac:dyDescent="0.25">
      <c r="J32" s="121"/>
      <c r="K32" s="142" t="s">
        <v>26</v>
      </c>
      <c r="L32" s="136"/>
      <c r="M32" s="25"/>
      <c r="N32" s="25"/>
      <c r="O32" s="26"/>
      <c r="P32" s="27"/>
    </row>
    <row r="33" spans="10:16" ht="15.75" thickBot="1" x14ac:dyDescent="0.3">
      <c r="J33" s="122"/>
      <c r="K33" s="143" t="s">
        <v>27</v>
      </c>
      <c r="L33" s="138"/>
      <c r="M33" s="32"/>
      <c r="N33" s="32"/>
      <c r="O33" s="28"/>
      <c r="P33" s="29"/>
    </row>
    <row r="34" spans="10:16" ht="26.25" thickBot="1" x14ac:dyDescent="0.3">
      <c r="J34" s="123" t="s">
        <v>152</v>
      </c>
      <c r="K34" s="144" t="s">
        <v>166</v>
      </c>
      <c r="L34" s="145"/>
      <c r="M34" s="47" t="s">
        <v>160</v>
      </c>
      <c r="N34" s="53">
        <f>L34</f>
        <v>0</v>
      </c>
      <c r="O34" s="45" t="e">
        <f>100/SQRT(N34)</f>
        <v>#DIV/0!</v>
      </c>
      <c r="P34" s="13" t="e">
        <f>N34/$N$44</f>
        <v>#DIV/0!</v>
      </c>
    </row>
    <row r="35" spans="10:16" ht="15.75" thickBot="1" x14ac:dyDescent="0.3">
      <c r="J35" s="124" t="s">
        <v>151</v>
      </c>
      <c r="K35" s="146" t="s">
        <v>148</v>
      </c>
      <c r="L35" s="147"/>
      <c r="M35" s="101" t="s">
        <v>161</v>
      </c>
      <c r="N35" s="53">
        <f>SUM(L35:L37)</f>
        <v>0</v>
      </c>
      <c r="O35" s="45" t="e">
        <f>100/SQRT(N35)</f>
        <v>#DIV/0!</v>
      </c>
      <c r="P35" s="13" t="e">
        <f>N35/$N$44</f>
        <v>#DIV/0!</v>
      </c>
    </row>
    <row r="36" spans="10:16" x14ac:dyDescent="0.25">
      <c r="J36" s="125"/>
      <c r="K36" s="148" t="s">
        <v>149</v>
      </c>
      <c r="L36" s="136"/>
      <c r="M36" s="86"/>
      <c r="N36" s="86"/>
      <c r="O36" s="86"/>
      <c r="P36" s="87"/>
    </row>
    <row r="37" spans="10:16" ht="15.75" thickBot="1" x14ac:dyDescent="0.3">
      <c r="J37" s="126"/>
      <c r="K37" s="149" t="s">
        <v>150</v>
      </c>
      <c r="L37" s="150"/>
      <c r="M37" s="88"/>
      <c r="N37" s="88"/>
      <c r="O37" s="88"/>
      <c r="P37" s="89"/>
    </row>
    <row r="38" spans="10:16" s="11" customFormat="1" ht="33.75" customHeight="1" thickBot="1" x14ac:dyDescent="0.3">
      <c r="J38" s="127" t="s">
        <v>147</v>
      </c>
      <c r="K38" s="144" t="s">
        <v>165</v>
      </c>
      <c r="L38" s="151"/>
      <c r="M38" s="46" t="s">
        <v>162</v>
      </c>
      <c r="N38" s="53">
        <f>L38</f>
        <v>0</v>
      </c>
      <c r="O38" s="45" t="e">
        <f>100/SQRT(N38)</f>
        <v>#DIV/0!</v>
      </c>
      <c r="P38" s="13" t="e">
        <f>N38/$N$44</f>
        <v>#DIV/0!</v>
      </c>
    </row>
    <row r="39" spans="10:16" s="11" customFormat="1" ht="15.75" thickBot="1" x14ac:dyDescent="0.3">
      <c r="J39" s="128" t="s">
        <v>155</v>
      </c>
      <c r="K39" s="152" t="s">
        <v>153</v>
      </c>
      <c r="L39" s="153"/>
      <c r="M39" s="102" t="s">
        <v>163</v>
      </c>
      <c r="N39" s="53">
        <f>SUM(L39:L40)</f>
        <v>0</v>
      </c>
      <c r="O39" s="45" t="e">
        <f>100/SQRT(N39)</f>
        <v>#DIV/0!</v>
      </c>
      <c r="P39" s="13" t="e">
        <f>N39/$N$44</f>
        <v>#DIV/0!</v>
      </c>
    </row>
    <row r="40" spans="10:16" s="11" customFormat="1" ht="15.75" thickBot="1" x14ac:dyDescent="0.3">
      <c r="J40" s="129"/>
      <c r="K40" s="154" t="s">
        <v>154</v>
      </c>
      <c r="L40" s="155"/>
      <c r="M40" s="90"/>
      <c r="N40" s="90"/>
      <c r="O40" s="90"/>
      <c r="P40" s="91"/>
    </row>
    <row r="41" spans="10:16" s="11" customFormat="1" ht="15.75" thickBot="1" x14ac:dyDescent="0.3">
      <c r="J41" s="130" t="s">
        <v>156</v>
      </c>
      <c r="K41" s="156" t="s">
        <v>157</v>
      </c>
      <c r="L41" s="147"/>
      <c r="M41" s="44" t="s">
        <v>164</v>
      </c>
      <c r="N41" s="53">
        <f>SUM(L41:L43)</f>
        <v>0</v>
      </c>
      <c r="O41" s="45" t="e">
        <f>100/SQRT(N41)</f>
        <v>#DIV/0!</v>
      </c>
      <c r="P41" s="13" t="e">
        <f>N41/$N$44</f>
        <v>#DIV/0!</v>
      </c>
    </row>
    <row r="42" spans="10:16" s="11" customFormat="1" x14ac:dyDescent="0.25">
      <c r="J42" s="131"/>
      <c r="K42" s="135" t="s">
        <v>158</v>
      </c>
      <c r="L42" s="136"/>
      <c r="M42" s="103"/>
      <c r="N42" s="104"/>
      <c r="O42" s="104"/>
      <c r="P42" s="105"/>
    </row>
    <row r="43" spans="10:16" s="11" customFormat="1" ht="15.75" thickBot="1" x14ac:dyDescent="0.3">
      <c r="J43" s="132"/>
      <c r="K43" s="137" t="s">
        <v>159</v>
      </c>
      <c r="L43" s="150"/>
      <c r="M43" s="106"/>
      <c r="N43" s="107"/>
      <c r="O43" s="107"/>
      <c r="P43" s="108"/>
    </row>
    <row r="44" spans="10:16" ht="19.5" thickBot="1" x14ac:dyDescent="0.35">
      <c r="J44" s="92" t="s">
        <v>171</v>
      </c>
      <c r="K44" s="93"/>
      <c r="L44" s="93"/>
      <c r="M44" s="94"/>
      <c r="N44" s="58">
        <f>N41+N39+N38+N35+N34+N30+N28+N24+N17+N8</f>
        <v>0</v>
      </c>
      <c r="O44" s="43" t="e">
        <f>100/SQRT(N44)</f>
        <v>#DIV/0!</v>
      </c>
      <c r="P44" s="33" t="e">
        <f>P41+P39+P38+P35+P34+P30+P28+P24+P17+P8</f>
        <v>#DIV/0!</v>
      </c>
    </row>
    <row r="73" spans="12:14" x14ac:dyDescent="0.25">
      <c r="L73" s="11"/>
      <c r="M73" s="11"/>
      <c r="N73" s="11"/>
    </row>
    <row r="74" spans="12:14" x14ac:dyDescent="0.25">
      <c r="L74" s="11"/>
      <c r="M74" s="11"/>
      <c r="N74" s="11"/>
    </row>
    <row r="75" spans="12:14" x14ac:dyDescent="0.25">
      <c r="L75" s="4"/>
      <c r="M75" s="4"/>
      <c r="N75" s="4"/>
    </row>
  </sheetData>
  <sheetProtection algorithmName="SHA-512" hashValue="EmgI8FHEHecgoj7wP5mKhvkSA77Bo+St52fw6TmnJ0G8Kj44jnmb4h20o9vvq0ZJwkai++y+6qdUdGsv0absNg==" saltValue="XXwsEtumU/SwfCds+bQfkA==" spinCount="100000" sheet="1" objects="1" scenarios="1" selectLockedCells="1"/>
  <mergeCells count="20">
    <mergeCell ref="M36:P37"/>
    <mergeCell ref="M40:P40"/>
    <mergeCell ref="J44:M44"/>
    <mergeCell ref="J35:J37"/>
    <mergeCell ref="J39:J40"/>
    <mergeCell ref="J41:J43"/>
    <mergeCell ref="M42:P43"/>
    <mergeCell ref="J4:P4"/>
    <mergeCell ref="J8:J16"/>
    <mergeCell ref="J6:L6"/>
    <mergeCell ref="O6:O7"/>
    <mergeCell ref="P6:P7"/>
    <mergeCell ref="K5:P5"/>
    <mergeCell ref="N6:N7"/>
    <mergeCell ref="B2:J2"/>
    <mergeCell ref="J17:J23"/>
    <mergeCell ref="J24:J27"/>
    <mergeCell ref="J28:J29"/>
    <mergeCell ref="J30:J33"/>
    <mergeCell ref="M6:M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ICT(Rt-At)</vt:lpstr>
      <vt:lpstr>ICT(Pt)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</dc:creator>
  <cp:lastModifiedBy>Numa Sebastian Calle Lituma</cp:lastModifiedBy>
  <dcterms:created xsi:type="dcterms:W3CDTF">2020-10-13T17:34:23Z</dcterms:created>
  <dcterms:modified xsi:type="dcterms:W3CDTF">2025-07-31T15:30:26Z</dcterms:modified>
</cp:coreProperties>
</file>