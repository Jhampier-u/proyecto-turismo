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RESPALDO\Desktop\Temas Turismo\ESPOL\MATRICES\"/>
    </mc:Choice>
  </mc:AlternateContent>
  <xr:revisionPtr revIDLastSave="0" documentId="13_ncr:1_{F1377A47-77F6-4A83-B191-B3457A6E8FD6}" xr6:coauthVersionLast="47" xr6:coauthVersionMax="47" xr10:uidLastSave="{00000000-0000-0000-0000-000000000000}"/>
  <bookViews>
    <workbookView xWindow="-120" yWindow="-120" windowWidth="20730" windowHeight="11160" firstSheet="4" activeTab="5" xr2:uid="{00000000-000D-0000-FFFF-FFFF00000000}"/>
  </bookViews>
  <sheets>
    <sheet name="Factores Intrínsecos Territorio" sheetId="1" r:id="rId1"/>
    <sheet name="Factores Extrínsecos Territorio" sheetId="2" r:id="rId2"/>
    <sheet name="Escala Valorativa (FIT)" sheetId="4" r:id="rId3"/>
    <sheet name="Escala Valorativa (FET)" sheetId="5" r:id="rId4"/>
    <sheet name="Ponderación Variable (FIT)" sheetId="6" r:id="rId5"/>
    <sheet name="Ponderación Variable (FET)" sheetId="7" r:id="rId6"/>
    <sheet name="Gráfica Resultante" sheetId="9" r:id="rId7"/>
  </sheets>
  <definedNames>
    <definedName name="_Hlk171610801" localSheetId="4">'Ponderación Variable (FIT)'!$N$34</definedName>
    <definedName name="OLE_LINK2" localSheetId="4">'Ponderación Variable (FIT)'!$N$30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7" l="1"/>
  <c r="C30" i="6"/>
  <c r="H6" i="7" l="1"/>
  <c r="C32" i="6" l="1"/>
  <c r="D32" i="6" s="1"/>
  <c r="C33" i="6"/>
  <c r="H10" i="6"/>
  <c r="I10" i="6" s="1"/>
  <c r="J22" i="9"/>
  <c r="H7" i="7" l="1"/>
  <c r="I7" i="7" s="1"/>
  <c r="I6" i="7"/>
  <c r="H5" i="7"/>
  <c r="I5" i="7" s="1"/>
  <c r="H9" i="6"/>
  <c r="I9" i="6" s="1"/>
  <c r="H8" i="6"/>
  <c r="I8" i="6" s="1"/>
  <c r="H7" i="6"/>
  <c r="I7" i="6" s="1"/>
  <c r="H6" i="6"/>
  <c r="I6" i="6" s="1"/>
  <c r="H5" i="6"/>
  <c r="I5" i="6" s="1"/>
  <c r="C20" i="7"/>
  <c r="C19" i="7"/>
  <c r="C31" i="6"/>
  <c r="C28" i="6" l="1"/>
  <c r="D28" i="6" s="1"/>
  <c r="D30" i="6"/>
  <c r="C29" i="6"/>
  <c r="D29" i="6" s="1"/>
  <c r="D31" i="6"/>
  <c r="D33" i="6"/>
  <c r="D21" i="7"/>
  <c r="D20" i="7"/>
  <c r="D19" i="7"/>
  <c r="D34" i="6" l="1"/>
  <c r="B7" i="9" s="1"/>
  <c r="D22" i="7"/>
  <c r="C7" i="9" s="1"/>
  <c r="D7" i="9" l="1"/>
  <c r="M18" i="9" s="1"/>
  <c r="M19" i="9" s="1"/>
  <c r="M20" i="9" s="1"/>
  <c r="P20" i="9" s="1"/>
  <c r="Q20" i="9" l="1"/>
</calcChain>
</file>

<file path=xl/sharedStrings.xml><?xml version="1.0" encoding="utf-8"?>
<sst xmlns="http://schemas.openxmlformats.org/spreadsheetml/2006/main" count="368" uniqueCount="262">
  <si>
    <t>Definición</t>
  </si>
  <si>
    <t>Criterios</t>
  </si>
  <si>
    <t>Sitios Naturales</t>
  </si>
  <si>
    <t>Escala de Valoración</t>
  </si>
  <si>
    <t>Fuente</t>
  </si>
  <si>
    <t>Valor</t>
  </si>
  <si>
    <t>Calificación</t>
  </si>
  <si>
    <t>Calificación Total</t>
  </si>
  <si>
    <t>Tabla Final Resultante</t>
  </si>
  <si>
    <t>Lugar</t>
  </si>
  <si>
    <t>Valoración</t>
  </si>
  <si>
    <t>Infraestructura</t>
  </si>
  <si>
    <t>Variables y Componentes "Factores Intrínsecos Territoriales"</t>
  </si>
  <si>
    <t>Variable</t>
  </si>
  <si>
    <t>Componente</t>
  </si>
  <si>
    <t>Oferta Turística</t>
  </si>
  <si>
    <t>Recursos Turísticos Territoriales</t>
  </si>
  <si>
    <t>Atractivos Turísticos</t>
  </si>
  <si>
    <t>Prestadores de Servicios Turísticos</t>
  </si>
  <si>
    <t>Productos Turísticos Territoriales</t>
  </si>
  <si>
    <t>Infraestructura Básica</t>
  </si>
  <si>
    <t>Infraestructura de Apoyo</t>
  </si>
  <si>
    <t>Variables y Componentes "Factores Extrínsecos Territoriales"</t>
  </si>
  <si>
    <t>Variables</t>
  </si>
  <si>
    <t>Componentes</t>
  </si>
  <si>
    <t>Demanda Turística</t>
  </si>
  <si>
    <t>Superestructura</t>
  </si>
  <si>
    <t>Imagen del Sitio</t>
  </si>
  <si>
    <t>Flujos Turísticos Reales</t>
  </si>
  <si>
    <t>Estadía Promedio</t>
  </si>
  <si>
    <t>Conjunto de consumidores o posibles consumidores de bienes y servicios turísticos que buscan satisfacer sus necesidades de viaje. Sean éstos los turistas, viajeros y visitantes, independientemente de las motivaciones que les animan a viajar y del lugar que visitan o planean visitar (OMT; 2022).</t>
  </si>
  <si>
    <t>Conjunto de productos
turísticos y servicios puestos a disposición del usuario turístico
en un destino determinado, para su disfrute y consumo  (OMT; 2022).</t>
  </si>
  <si>
    <t>Los bienes y servicios que presentan el potencial para ser utilizados dentro del desarrollo de actividades turísticas (OMT; 2008).</t>
  </si>
  <si>
    <t>Los bienes y servicios que, gracias a la intervención de la mano del hombre y de los medios que lo sustentan, le dan vida a la actividad turística (OMT; 2008).</t>
  </si>
  <si>
    <t>Conjunto de realizaciones, hechos y actividades, tendientes a producir prestaciones personales que satisfagan las necesidades del turista y contribuyan al logro de facilitación, acercamiento, uso y disfrute de los bienes turísticos (OMT; 2008).</t>
  </si>
  <si>
    <t>Corresponde a las modalidades de turismo que se pueden desarrollar en el lugar, con base en sus atractivos, actividades e instalaciones, los mismos que se encuentran inmersos en un destino determinado (Roa; 2012).</t>
  </si>
  <si>
    <t>Conjunto de obras, estructuras, servicios e instalaciones necesarias para el desarrollo de las diversas actividades en un lugar determinado (Mikery; 2018).</t>
  </si>
  <si>
    <t>Comprende a los servicios básicos, de salud, educativos, entre otros que soportan el desarrollo adecuado de la comunidad local residente del lugar (Valenzuela; 2019).</t>
  </si>
  <si>
    <t>Abarca los elementos clave que son utilizados por la actividad turística para el desarrollo adecuado de la actividad, entre las que se encuentran: aeropuertos, puertos, terminales y redes viales (Valenzuela; 2019).</t>
  </si>
  <si>
    <t>Es el resultado cuantificado del desplazamiento temporal y motivado de viajeros, que, desde el lugar de domicilio habitual, se dirigen a otros lugares de destino que ofrecen bienes y servicios turísticos (Barrado; 2004).</t>
  </si>
  <si>
    <t>Es la aproximación de permanencia que los visitantes ejercen en un determinado lugar o sitio de visita, regularmente medido en días, lo cual permite identificar la diversificación de las actividades ofertadas por el sitio (Valenzuela; 2019).</t>
  </si>
  <si>
    <t>Conjunto de organismos públicos que regulan, fomentan y coordinan el desarrollo y el fomento turístico, incluye los instrumentos que permiten establecer que dicho funcionamiento sea adecuado y eficiente (Mikey; 2018).</t>
  </si>
  <si>
    <t>Conjunto de organismos, entidades, instituciones y/o agremiaciones encargadas del desarrollo de la actividad turística en un determinado territorio, las cuales principalmente pertenecen al sector público (Barrado; 2004).</t>
  </si>
  <si>
    <t>Institucionalidad Turística</t>
  </si>
  <si>
    <t>Planificación Turística</t>
  </si>
  <si>
    <t>La planificación del turismo en un destino debe ser abordada como un sistema en el que se interrelacionan factores de la demanda, oferta y el espacio geográfico, debido a dicha interrelación es importante que la planificación tenga un objetivo de desarrollo integrado (OMT; 1994).</t>
  </si>
  <si>
    <t>Grado de Apertura de la Comunidad Local</t>
  </si>
  <si>
    <t>Determinación del nivel de aceptación y/o rechazo que presentan los residentes acerca del desarrollo de la actividad turística que se puede desarrollar dentro del territorio en el que se desenvuelve (Pike; 2018).</t>
  </si>
  <si>
    <t>Imagen Percibida del Visitante</t>
  </si>
  <si>
    <t>Marketing Turístico</t>
  </si>
  <si>
    <t>La imagen de un destino turístico es la suma de las creencias, ideas, impresiones y expectativas que un turista tiene del destino, considerando la imagen como una expresión
general o total que se forma como resultado de la evaluación de atributos individuales que pudieran tener un contenido cognitivo y emocional (Buhalis; 2021).</t>
  </si>
  <si>
    <t>Conjunto de valores, ideas, ideologías, de imágenes preconcebidas, de experiencias, de conocimientos, de percepciones individuales, introspecciones subjetivas, únicas, que se construyen en la mente de los visitantes (Galí 2006).</t>
  </si>
  <si>
    <t xml:space="preserve">Conjunto integral de objetivos, estrategias, tácticas y mediciones que se llevan a cabo por una localidad determinada con la finalidad de resaltar las cualidades intrínsecas de un espacio geográfico en particular, el cual se convertirá en sitio de visitación y atracción de flujos turísticos futuros (Buhalis; 2018). </t>
  </si>
  <si>
    <t>Básica</t>
  </si>
  <si>
    <t>Apoyo</t>
  </si>
  <si>
    <t>Escala Valorativa de los Factores Intrínsecos Territoriales</t>
  </si>
  <si>
    <t>Escala Valorativa de los Factores Extrínsecos Territoriales</t>
  </si>
  <si>
    <t>Flujos Turísticos</t>
  </si>
  <si>
    <t>FIT</t>
  </si>
  <si>
    <t>Infraestructura (i)</t>
  </si>
  <si>
    <t>Valoración "Factores Intrínsecos Territoriales"</t>
  </si>
  <si>
    <t>Valoración Total "Factores Instrínsecos Territoriales"</t>
  </si>
  <si>
    <t>Valoración "Factores Extrínsecos Territoriales"</t>
  </si>
  <si>
    <t>Imagen percibida de los Visitantes</t>
  </si>
  <si>
    <t>Recursos Turísticos Territoriales Culturales</t>
  </si>
  <si>
    <t>Recursos Turísticos Territoriales Naturales</t>
  </si>
  <si>
    <t>Manifestaciones Culturales</t>
  </si>
  <si>
    <t>Alojamiento</t>
  </si>
  <si>
    <t>Restauración</t>
  </si>
  <si>
    <t>Guianza e Interpretación</t>
  </si>
  <si>
    <t>Recursos Turísticos Territoriales (RTt)</t>
  </si>
  <si>
    <t>Atractivos Turísticos (At)</t>
  </si>
  <si>
    <t>Prestadores de Servicios Turísticos (PSt)</t>
  </si>
  <si>
    <t>Producto Turístico Territorial</t>
  </si>
  <si>
    <t>Producto Turístico Territorial (PTt)</t>
  </si>
  <si>
    <t>Demanda Turística (Dt)</t>
  </si>
  <si>
    <t>Superestructura (S)</t>
  </si>
  <si>
    <t>Imagen del Sitio (Is)</t>
  </si>
  <si>
    <t>Factores Intrínsecos</t>
  </si>
  <si>
    <t>Factores Extrínsecos</t>
  </si>
  <si>
    <t>Porcentaje</t>
  </si>
  <si>
    <t>Porcentaje total</t>
  </si>
  <si>
    <t>Ítems</t>
  </si>
  <si>
    <t>Resultado Obtenido</t>
  </si>
  <si>
    <t>Zona</t>
  </si>
  <si>
    <t>Explicación</t>
  </si>
  <si>
    <t>De 0 a 1</t>
  </si>
  <si>
    <t>Baja Vocación Turística</t>
  </si>
  <si>
    <t>El territorio, lugar yo sitio no presenta las condiciones necesarias para poder desarrollar actividades turísticas en él.</t>
  </si>
  <si>
    <t>De 1.1 a 2</t>
  </si>
  <si>
    <t>Mediana Vocación Turística</t>
  </si>
  <si>
    <t>El territorio, sitio y/o lugar cuenta con limitaciones para el desarrollo adecuado de actividades turísticas, pero las mismas pueden trabajarse de manera conjunta para alcanzar lo determinado.</t>
  </si>
  <si>
    <t>De 2.1 a 3</t>
  </si>
  <si>
    <t>Alta Vocación Turística</t>
  </si>
  <si>
    <t>El territorio, sitio y/o lugar presenta las condiciones necesarias para poder desarrollar actividades turísticas de forma eficiente.</t>
  </si>
  <si>
    <t>Vocación Turística del Territorio</t>
  </si>
  <si>
    <t>Escala</t>
  </si>
  <si>
    <t>Puntos</t>
  </si>
  <si>
    <t>X</t>
  </si>
  <si>
    <t>Y</t>
  </si>
  <si>
    <t>Valor %</t>
  </si>
  <si>
    <t>Inicial</t>
  </si>
  <si>
    <t>Grados</t>
  </si>
  <si>
    <t>Final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</si>
  <si>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visitación turística evidenciable en el sitio.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</si>
  <si>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flujos turísticos mayoritariamente locales en el lugar.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</si>
  <si>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flujos turísticos mayoritariamente regionales y/o nacionales en el lugar.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</si>
  <si>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flujos turísticos mayoritariamente internacionales en el lugar.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</si>
  <si>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El sitio de visita no presenta una estadía en el lugar, mayoritariamente es un sitio de excursión.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</si>
  <si>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El territorio presenta una estadía promedio superior a las 24 horas.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</si>
  <si>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El territorio presenta un periodo de permanencia que va desde las 48 hasta las 72 horas.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</si>
  <si>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El territorio presenta un periodo de estadía superior a las 73 horas.</t>
    </r>
  </si>
  <si>
    <t>Boletínes estadísticos nacionales, regionales y/o locales, investigación de mercados primaria o fuentes secundarias</t>
  </si>
  <si>
    <t>Boletínes nacionales, regionales y/o locales, investigación primaria o fuentes secundarias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</si>
  <si>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No existe una organización pública encargada de la actividad turística del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</si>
  <si>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Existencia de un departamento, jefatura y/o comité vinculado con el turismo y otras áreas en el lugar, con formación profesional no relacionada con el área.</t>
    </r>
  </si>
  <si>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Existencia de un departamento, jefatura y/o comité encargado del desarrollo turístico del lugar, sin formación profesional en el área.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</si>
  <si>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Existencia de un departamento, jefatura y/o comité encargado del desarrollo turístico del lugar, con formación profesional en el área.</t>
    </r>
  </si>
  <si>
    <t>Documentos legales públicos, organigramas institucionales y/o documentos de constitución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</si>
  <si>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Inexistencia de un proceso de planificación turística del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</si>
  <si>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El lugar cuenta con un plan de desarrollo y ordenamiento territorial en el que se aborda el área turística.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</si>
  <si>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El lugar cuenta con un plan turístico genérico y poco relacionado con el contexto turístico en el sitio.</t>
    </r>
  </si>
  <si>
    <r>
      <rPr>
        <b/>
        <sz val="11"/>
        <color theme="1"/>
        <rFont val="Calibri"/>
        <family val="2"/>
        <scheme val="minor"/>
      </rPr>
      <t xml:space="preserve">3. </t>
    </r>
    <r>
      <rPr>
        <sz val="11"/>
        <color theme="1"/>
        <rFont val="Calibri"/>
        <family val="2"/>
        <scheme val="minor"/>
      </rPr>
      <t>El lugar cuenta con un plan turístico con un enfoque, modelo y metodología adecuada y relacionada con la realidad territorial.</t>
    </r>
  </si>
  <si>
    <t>Documentos oficiales publicados, tanto nacionales, regionales y/o internacionales</t>
  </si>
  <si>
    <t>Documentos oficiales nacionales, regionales y/o locales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</si>
  <si>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La comunidad local no se encuentra abierta para desarrollar actividades turísticas en el territorio.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</si>
  <si>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La comunidad local tiene una percepción negativa de la actividad turística y sus efectos en el territorio. 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</si>
  <si>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La comunidad receptora reconoce y percibe a su territorio como un lugar turístico.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</si>
  <si>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Las personas presentan un entusiasmo por desarrollar actividades turísticas en el lugar.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</si>
  <si>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Los visitantes no tienen conocimiento ni reconocimiento del territorio.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</si>
  <si>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Los visitantes presentan una imagen percibida negativa con respecto a la actividad turística en el territorio.</t>
    </r>
  </si>
  <si>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Los visitantes presentan un nivel de conocimiento y reconocimiento básico del territorio previo a su viaje.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</si>
  <si>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Los visitantes identifican de forma clara los principales rasgos identitarios y turísticos del lugar previo a su viaje.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</si>
  <si>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El lugar no cuenta con ninguna modalidad de marketing turístico.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</si>
  <si>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El territorio forma parte de la promoción turística del cantón o la provincia.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</si>
  <si>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El territorio cuenta con una investigación de mercados centralizada en los flujos de visita.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</si>
  <si>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El territorio cuenta con un plan de marketing turístico contextualizado al territorio.</t>
    </r>
  </si>
  <si>
    <t>Entrevistas, encuestas, grupos focales y/o fuentes secundarias</t>
  </si>
  <si>
    <t>Documentos oficiales publicados, tanto nacionales, regionales y/o internacionales, material publicitario, publicidad en redes sociales, entre otros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</si>
  <si>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servicios básicos funcionales en el territorio.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</si>
  <si>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servicios de energía eléctrica, agua potable y telecomunicaciones adecuada en el lugar.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</si>
  <si>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Adicional a lo anterior, se evidencia la presencia de servicios de salud (clínicas, hospitales, centros de salud).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</si>
  <si>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Adicional a lo anterior, se evidencia la presencia de servicios de tratamiento de aguas residuales, recolección, alcantarillado y tratamiento de basura.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</si>
  <si>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elementos clave para el desarrollo de la actividad turística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</si>
  <si>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redes viales (carreteras de segundo y tercer orden) y conectividad en transportación irregular hacia el lugar.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</si>
  <si>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redes viales (carreteras de primer orden), terminales terrestres y conectividad en transportación regular hacia el lugar.</t>
    </r>
  </si>
  <si>
    <t>Elemento</t>
  </si>
  <si>
    <t>Culturales (Tangibles e Intangibles)</t>
  </si>
  <si>
    <t>Naturales (Tangibles e Intangibles)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</si>
  <si>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Carencia de recursos turísticos culturales tangibles e intangibles en el sitio.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</si>
  <si>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recursos turísticos culturales poco diferenciados, sin reconocimiento de la comunidad local.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</si>
  <si>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recursos turísticos culturales tangibles e intangibles característicos e identitarios del lugar.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</si>
  <si>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Carencia de recursos turísticos naturales tangibles e intangibles en el sitio.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</si>
  <si>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recursos turísticos naturales poco diferenciados, sin reconocimiento de la comunidad local.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</si>
  <si>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recursos turísticos naturales poco diferenciados, que genera un leve interés por parte del sector público.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</si>
  <si>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recursos turísticos naturales tangibles e intangibles característicos e identitarios del lugar.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</si>
  <si>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Carencia de atractivos turísticos culturales inventariados en el lugar a la fecha.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</si>
  <si>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Atractivos turísticos culturales con categoría uno y dos en el sitio.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</si>
  <si>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Atractivos turísticos culturales con jerarquía tres en el lugar.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</si>
  <si>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Atractivos turísticos culturales con jerarquía cuatro en el sitio.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</si>
  <si>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Carencia de atractivos turísticos naturales inventariados en el lugar a la fecha.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</si>
  <si>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Atractivos turísticos naturales con categoría uno y dos en el sitio.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</si>
  <si>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Atractivos turísticos naturales con jerarquía tres en el lugar.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</si>
  <si>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Atractivos turísticos naturales con jerarquía cuatro en el sitio.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</si>
  <si>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productos turísticos territoriales potenciales en el sitio.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</si>
  <si>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Potencialidad para el desarrollo de multiproductos turísticos territoriales.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</si>
  <si>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Productos turísticos territoriales que se comercializan en el sitio.</t>
    </r>
  </si>
  <si>
    <t>Observación directa, análisis de los recursos y atractivos turísticos del lugar, entrevistas con los gestores públicos.</t>
  </si>
  <si>
    <t>Guianza e Interpretación Turística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</si>
  <si>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prestadores de servicios turísticos de guianza e interpretación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</si>
  <si>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guías locales no registrados ni con preparación.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</si>
  <si>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guías locales con preparación y/o formación, pero no registrados.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</si>
  <si>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guías e intérpretes turísticos con formación y acreditación.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</si>
  <si>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Potencialidad para el desarrollo de un monoproducto turístico territorial.</t>
    </r>
  </si>
  <si>
    <t>Seguridad del Destino</t>
  </si>
  <si>
    <t>El concepto de seguridad es amplio y multifacético, abarcando diversas áreas y contextos. En términos generales, la seguridad se refiere al estado de estar libre de peligro, daño o riesgo (Ruíz, 2019).</t>
  </si>
  <si>
    <t>Entrevistas, encuestas, grupos focales, observación no participante y/o fuentes secundarias</t>
  </si>
  <si>
    <t>Seguridad del Destino o Sitio de Visita</t>
  </si>
  <si>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>Lic. Numa Sebastián Calle Lituma, Esp. Mg. MBA. PhD.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</si>
  <si>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El territorio es considerado muy inseguro, con alta incidencia de delitos e inexistencia de fuerzas de seguridad.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</si>
  <si>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El territorio es considerado inseguro con una incidencia moderada de delitos y presencia limitada de fuerzas de seguridad.</t>
    </r>
  </si>
  <si>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El territorio es considerado moderadamente seguro con baja incidencia de delitos y una presencia adecuada de fuerzas de seguridad.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</si>
  <si>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El territorio es considerado muy seguro con bajos o inexistentes incidencias de delitos y una presencia alta y visible de fuerzas de seguridad bien coordinadas y servicios de emergencia óptimos.</t>
    </r>
  </si>
  <si>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>Lic. Numa Sebastián Calle Lituma, Esp. Mg. MBA. PhD. y Lic. Ronal Edison Chaca Espinoza, Mg. PhD.</t>
    </r>
  </si>
  <si>
    <t>Elaborado por: Lic. Numa Sebastián Calle Lituma, Esp. Mg. MBA. PhD. y Lic. Ronal Edison Chaca Espinoza, Mg. PhD.</t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</si>
  <si>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recursos turísticos culturales poco diferenciados, que genera un leve interés por parte del sector público y/o comunitario.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</si>
  <si>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prestadores de servicios turísticos de alojamiento comunitario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</si>
  <si>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Prestadores de servicios de alojamiento, principalmente familiares no permanentes.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</si>
  <si>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servicios de alojamiento, principalmente comunales o comunitarios permanentes.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</si>
  <si>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servicios de alojamiento comunitario permanente orientado a la recepción habitual de visitantes y manejado por la comunidad.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</si>
  <si>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Prestadores de servicios de restauración, principalmente familiares no permanentes.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</si>
  <si>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prestadores de servicios restauración en el lugar.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</si>
  <si>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servicios de restauración, principalmente comunales o comunitarios permanentes.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</si>
  <si>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servicios de restauración permanente orientado a la recepción habitual de visitantes y manejado por la comunidad.</t>
    </r>
  </si>
  <si>
    <t>Se refiere a los servicios diseñados y desarrollados para atender y satisfacer las necesidades de los visitantes y soportar el desarroll adecuado de la actividad turística en el lugar (OMT; 2022).</t>
  </si>
  <si>
    <t>Señalización Turística</t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</si>
  <si>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terminales terrestres, puertos, aeropuertos, conectividad regular y adecuada, señalización vial y con una red vial en buen estado.</t>
    </r>
  </si>
  <si>
    <t>Senderos</t>
  </si>
  <si>
    <t>Campamentos</t>
  </si>
  <si>
    <t>Miradores</t>
  </si>
  <si>
    <t>Baterías Sanitarias</t>
  </si>
  <si>
    <t>Centros de Interpretación</t>
  </si>
  <si>
    <t>Centros de Recepción de Visitantes</t>
  </si>
  <si>
    <t>Centros de Recepción de Visitantes y/o puntos de información</t>
  </si>
  <si>
    <t>Son instalaciones destinadas a ofrecer servicios de bienvenida, orientación e información general a los turistas y visitantes. Estos centros actúan como puntos de partida para la exploración de un destino turístico, proporcionando recursos esenciales para planificar y disfrutar la visita (MINTUR; 2017).</t>
  </si>
  <si>
    <t>Es el conjunto de señales y carteles diseñados específicamente para orientar, informar y guiar a los turistas en un destino determinado. Su principal objetivo es facilitar la movilidad y el acceso a lugares de interés, así como proporcionar información relevante de manera clara y accesible (MINTUR; 2017).</t>
  </si>
  <si>
    <t>Son instalaciones diseñadas para educar y enriquecer la experiencia de los visitantes mediante la interpretación de recursos naturales, culturales, históricos o patrimoniales (MINTUR; 2017).</t>
  </si>
  <si>
    <t>Son caminos o rutas diseñadas y marcadas para el tránsito a pie, en bicicleta o a caballo, que permiten a los visitantes explorar áreas naturales, parques, reservas o sitios de interés cultural e histórico (MINTUR; 2017).</t>
  </si>
  <si>
    <t>Son áreas designadas para aparcar vehículos de manera segura y ordenada. Estos espacios son esenciales en destinos turísticos para facilitar el acceso de los visitantes que llegan por vía terrestre (MINTUR; 2017).</t>
  </si>
  <si>
    <t>Son puntos elevados o estratégicamente ubicados que ofrecen vistas panorámicas de paisajes naturales, urbanos, o sitios de interés cultural e histórico (MINTUR; 2017).</t>
  </si>
  <si>
    <t>Son instalaciones de baños públicos que proporcionan servicios higiénicos básicos a los visitantes en áreas turísticas, parques, campamentos, y otros lugares públicos (MINTUR; 2017).</t>
  </si>
  <si>
    <t>Son áreas designadas para acampar, donde los visitantes pueden montar tiendas de campaña, caravanas o autocaravanas, y disfrutar de actividades al aire libre (MINTUR; 2017).</t>
  </si>
  <si>
    <t>Facilidades Turísticas</t>
  </si>
  <si>
    <t>Señalética Turística</t>
  </si>
  <si>
    <t>Centros de Recepción de visitantes y/o puntos de información</t>
  </si>
  <si>
    <t>Señalética</t>
  </si>
  <si>
    <t>Estacionamientos</t>
  </si>
  <si>
    <t>Facilidades Turísticas (Ft)</t>
  </si>
  <si>
    <t>Fichas de identificación de recursos turísticos territoriales, entrevistas a gestores públicos y fuentes secundarias.</t>
  </si>
  <si>
    <t>Inventario de atractivos turísticos nacionales, regionales y/o locales, entrevistas con los gestores públicos de turismo del lugar.</t>
  </si>
  <si>
    <t>Catastro de prestadores de servicios turísticos nacional, regional y/o local, observación directa y fuentes secundarias.</t>
  </si>
  <si>
    <t>Datos referenciales con los servicios indicadores ubicados en documentos oficiales, planes de desarrollo y ordenamiento territorial, informes públicos y/o cifras oficiales.</t>
  </si>
  <si>
    <t>Observación directa, documentos oficiales, planes de desarrollo y ordenamiento territorial e informes públicos.</t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</si>
  <si>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señalética turística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</si>
  <si>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señalética turística en mal estado y desactualizada.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</si>
  <si>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señalética turística en buen estado pero desactualizada.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</si>
  <si>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señalética turística en buen estado y actualizada.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</si>
  <si>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centros de recepción de visitantes y/o puntos de información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</si>
  <si>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espacios utilizados como centros de recepción de visitantes y/o puntos de información pero no dedicados a ello particularmente.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</si>
  <si>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centros de recepción de visitantes y/o puntos de información en mal estado o desatendidos.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</si>
  <si>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centros de recepción de visitantes y/o puntos de información adecuados, en buen estado y abiertos.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</si>
  <si>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centros de interpretación en el lugar.</t>
    </r>
  </si>
  <si>
    <t>1. Presencia de espacios utilizados como centros de interpretación pero no dedicados a ello particularmente.</t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</si>
  <si>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centros de interpretación en mal estado o desatendidos.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</si>
  <si>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centros de interpretación adecuados, en buen estado y abiertos.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</si>
  <si>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senderos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</si>
  <si>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senderos comunitarios deteriorados y en mal estado.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</si>
  <si>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senderos comunitarios adecuadamente mantenidos.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</si>
  <si>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senderos comunitarios que demuestras utilización turística.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</si>
  <si>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lugares de estacionamiento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</si>
  <si>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Limitado espacio para el estacionamiento de vehículos pequeños en el lugar.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</si>
  <si>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Limitado espacio para el estacionamiento de vehículos pequeños y medianos en el lugar.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</si>
  <si>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Existencia de espacios adecuados para el estacionamiento de vehículos pequeños, medianos y/o grandes en el lugar.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</si>
  <si>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espacios para acampar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</si>
  <si>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Existencia de espacios naturales para acampar alejados, deteriorados y sin servicios básicos adecuados.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</si>
  <si>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Existencia de espacios naturales para acampar cercanos y/o lejanos mantenidos adecuadamente pero sin servicios básicos adecuados.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</si>
  <si>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Existencia de espacios naturales y/o abiertos adecuados para acampar, cercanos y/o lejanos con un mantenimiento adecuado y servicios básicos funcionales.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</si>
  <si>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miradores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</si>
  <si>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espacios naturales con potencialidad visual pero sin equipamiento para visita.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</si>
  <si>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espacios naturales y/o artificiales con potencialidad visual con un equipamiento básico para visita.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</si>
  <si>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espacios naturales y/o artificiales con potencialidad visual con un equipamiento adecuado para visita y mantenimiento de instalaciones.</t>
    </r>
  </si>
  <si>
    <r>
      <rPr>
        <b/>
        <sz val="11"/>
        <color theme="1"/>
        <rFont val="Calibri"/>
        <family val="2"/>
        <scheme val="minor"/>
      </rPr>
      <t>0.</t>
    </r>
    <r>
      <rPr>
        <sz val="11"/>
        <color theme="1"/>
        <rFont val="Calibri"/>
        <family val="2"/>
        <scheme val="minor"/>
      </rPr>
      <t xml:space="preserve"> Ausencia de baterías sanitarias públicas en el lugar.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</si>
  <si>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Presencia de baterías sanitarias públicas en mal estado y cerradas para su uso en el lugar.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</si>
  <si>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Presencia de baterías sanitarias públicas en buen estado pero con atención intermitente en el lugar.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</si>
  <si>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Presencia de baterías sanitarias públicas en buen estado, mantenimiento adecuado, limpieza evidenciada y abierto al público durante los horarios establecidos.</t>
    </r>
  </si>
  <si>
    <t>Organización Comunitaria en Turismo</t>
  </si>
  <si>
    <t>Proceso a través del cual los miembros de una comunidad se unen y colaboran para identificar problemas, planificar soluciones y tomar acciones colectivas que mejoren la calidad de vida y el bienestar de la comunidad. (Antón; 2019).</t>
  </si>
  <si>
    <r>
      <rPr>
        <b/>
        <sz val="11"/>
        <color theme="1"/>
        <rFont val="Calibri"/>
        <family val="2"/>
        <scheme val="minor"/>
      </rPr>
      <t xml:space="preserve">0. </t>
    </r>
    <r>
      <rPr>
        <sz val="11"/>
        <color theme="1"/>
        <rFont val="Calibri"/>
        <family val="2"/>
        <scheme val="minor"/>
      </rPr>
      <t>Inexistencia de una organización comunitaria en el territorio.</t>
    </r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</si>
  <si>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Existencia de representantes comunitarios o comunales que trabajan de manera individual.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</si>
  <si>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Existencia de una organización comunitaria conjunta en el territorio, pero sin un enfoque turístico.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</si>
  <si>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Existencia de una organización comunitaria conjunta orientada a fomentar el desarrollo de la actividad turística en el territorio.</t>
    </r>
  </si>
  <si>
    <t>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</si>
</sst>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5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horizontal="left" vertical="center" wrapText="1"/>
      <protection locked="0"/>
    </xf>
    <xf numFmtId="4" fontId="0" fillId="2" borderId="1" xfId="1" applyNumberFormat="1" applyFont="1" applyFill="1" applyBorder="1" applyAlignment="1" applyProtection="1">
      <alignment horizontal="center" vertical="center" wrapText="1"/>
    </xf>
    <xf numFmtId="0" fontId="0" fillId="2" borderId="2" xfId="0" applyFill="1" applyBorder="1" applyAlignment="1" applyProtection="1">
      <alignment horizontal="center" vertical="center"/>
      <protection locked="0"/>
    </xf>
    <xf numFmtId="4" fontId="0" fillId="2" borderId="2" xfId="1" applyNumberFormat="1" applyFont="1" applyFill="1" applyBorder="1" applyAlignment="1" applyProtection="1">
      <alignment horizontal="center" vertical="center" wrapText="1"/>
    </xf>
    <xf numFmtId="9" fontId="0" fillId="2" borderId="0" xfId="0" applyNumberFormat="1" applyFill="1" applyProtection="1">
      <protection locked="0"/>
    </xf>
    <xf numFmtId="9" fontId="0" fillId="2" borderId="0" xfId="1" applyFont="1" applyFill="1" applyProtection="1">
      <protection locked="0"/>
    </xf>
    <xf numFmtId="0" fontId="0" fillId="2" borderId="0" xfId="0" applyFill="1" applyAlignment="1" applyProtection="1">
      <alignment vertical="center"/>
      <protection locked="0"/>
    </xf>
    <xf numFmtId="2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0" xfId="0" applyFill="1" applyAlignment="1" applyProtection="1">
      <alignment horizontal="left"/>
      <protection locked="0"/>
    </xf>
    <xf numFmtId="0" fontId="1" fillId="9" borderId="1" xfId="0" applyFont="1" applyFill="1" applyBorder="1"/>
    <xf numFmtId="0" fontId="1" fillId="9" borderId="2" xfId="0" applyFont="1" applyFill="1" applyBorder="1"/>
    <xf numFmtId="0" fontId="0" fillId="2" borderId="3" xfId="0" applyFill="1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9" fontId="0" fillId="2" borderId="2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9" fontId="0" fillId="2" borderId="1" xfId="0" applyNumberForma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/>
    </xf>
    <xf numFmtId="4" fontId="0" fillId="2" borderId="0" xfId="1" applyNumberFormat="1" applyFont="1" applyFill="1" applyBorder="1" applyAlignment="1" applyProtection="1">
      <alignment vertical="center" wrapText="1"/>
      <protection locked="0"/>
    </xf>
    <xf numFmtId="2" fontId="0" fillId="2" borderId="0" xfId="0" applyNumberFormat="1" applyFill="1" applyAlignment="1" applyProtection="1">
      <alignment vertical="center" wrapText="1"/>
      <protection locked="0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2" xfId="0" applyFill="1" applyBorder="1" applyAlignment="1">
      <alignment horizontal="left" vertical="center"/>
    </xf>
    <xf numFmtId="2" fontId="0" fillId="2" borderId="0" xfId="0" applyNumberFormat="1" applyFill="1" applyProtection="1">
      <protection locked="0"/>
    </xf>
    <xf numFmtId="10" fontId="0" fillId="2" borderId="0" xfId="1" applyNumberFormat="1" applyFont="1" applyFill="1" applyProtection="1">
      <protection locked="0"/>
    </xf>
    <xf numFmtId="164" fontId="0" fillId="2" borderId="0" xfId="0" applyNumberFormat="1" applyFill="1" applyAlignment="1" applyProtection="1">
      <alignment horizontal="center" vertical="center"/>
      <protection locked="0"/>
    </xf>
    <xf numFmtId="0" fontId="10" fillId="6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alignment vertical="center" wrapText="1"/>
      <protection locked="0"/>
    </xf>
    <xf numFmtId="0" fontId="0" fillId="2" borderId="2" xfId="0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wrapText="1"/>
    </xf>
    <xf numFmtId="0" fontId="1" fillId="9" borderId="2" xfId="0" applyFont="1" applyFill="1" applyBorder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/>
      <protection locked="0"/>
    </xf>
    <xf numFmtId="0" fontId="7" fillId="8" borderId="0" xfId="0" applyFont="1" applyFill="1" applyAlignment="1" applyProtection="1">
      <alignment horizontal="center"/>
      <protection locked="0"/>
    </xf>
    <xf numFmtId="0" fontId="0" fillId="2" borderId="2" xfId="0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8" fillId="4" borderId="0" xfId="0" applyFont="1" applyFill="1" applyAlignment="1" applyProtection="1">
      <alignment horizontal="center" vertical="center"/>
      <protection locked="0"/>
    </xf>
    <xf numFmtId="0" fontId="9" fillId="7" borderId="0" xfId="0" applyFont="1" applyFill="1" applyAlignment="1" applyProtection="1">
      <alignment horizontal="center" vertical="top"/>
      <protection locked="0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800000"/>
      <color rgb="FFFF5757"/>
      <color rgb="FF990000"/>
      <color rgb="FFA50021"/>
      <color rgb="FFFF0000"/>
      <color rgb="FFF34F4F"/>
      <color rgb="FFC1476A"/>
      <color rgb="FF36CBD2"/>
      <color rgb="FF009A46"/>
      <color rgb="FF345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214134789386"/>
          <c:y val="0.14427350122072802"/>
          <c:w val="0.64419795236873079"/>
          <c:h val="0.75942178380166503"/>
        </c:manualLayout>
      </c:layout>
      <c:radarChart>
        <c:radarStyle val="marker"/>
        <c:varyColors val="0"/>
        <c:ser>
          <c:idx val="0"/>
          <c:order val="0"/>
          <c:tx>
            <c:strRef>
              <c:f>'Ponderación Variable (FIT)'!$A$26</c:f>
              <c:strCache>
                <c:ptCount val="1"/>
                <c:pt idx="0">
                  <c:v>Valoración Total "Factores Instrínsecos Territoriales"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'Ponderación Variable (FIT)'!$A$28:$A$33</c:f>
              <c:strCache>
                <c:ptCount val="6"/>
                <c:pt idx="0">
                  <c:v>Recursos Turísticos Territoriales (RTt)</c:v>
                </c:pt>
                <c:pt idx="1">
                  <c:v>Atractivos Turísticos (At)</c:v>
                </c:pt>
                <c:pt idx="2">
                  <c:v>Prestadores de Servicios Turísticos (PSt)</c:v>
                </c:pt>
                <c:pt idx="3">
                  <c:v>Producto Turístico Territorial (PTt)</c:v>
                </c:pt>
                <c:pt idx="4">
                  <c:v>Infraestructura (i)</c:v>
                </c:pt>
                <c:pt idx="5">
                  <c:v>Facilidades Turísticas (Ft)</c:v>
                </c:pt>
              </c:strCache>
            </c:strRef>
          </c:cat>
          <c:val>
            <c:numRef>
              <c:f>'Ponderación Variable (FIT)'!$C$28:$C$33</c:f>
              <c:numCache>
                <c:formatCode>#,##0.00</c:formatCode>
                <c:ptCount val="6"/>
                <c:pt idx="0">
                  <c:v>2.5</c:v>
                </c:pt>
                <c:pt idx="1">
                  <c:v>2</c:v>
                </c:pt>
                <c:pt idx="2">
                  <c:v>1.3333333333333333</c:v>
                </c:pt>
                <c:pt idx="3">
                  <c:v>0</c:v>
                </c:pt>
                <c:pt idx="4">
                  <c:v>1.5</c:v>
                </c:pt>
                <c:pt idx="5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2-4EE9-B254-1825F5FFB0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567112576"/>
        <c:axId val="-1567104960"/>
      </c:radarChart>
      <c:catAx>
        <c:axId val="-15671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67104960"/>
        <c:crosses val="autoZero"/>
        <c:auto val="1"/>
        <c:lblAlgn val="ctr"/>
        <c:lblOffset val="100"/>
        <c:noMultiLvlLbl val="0"/>
      </c:catAx>
      <c:valAx>
        <c:axId val="-1567104960"/>
        <c:scaling>
          <c:orientation val="minMax"/>
          <c:max val="3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-15671125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'Ponderación Variable (FIT)'!$I$4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BD-4A59-926F-690A539A938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FBD-4A59-926F-690A539A938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BD-4A59-926F-690A539A938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FBD-4A59-926F-690A539A938A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FBD-4A59-926F-690A539A938A}"/>
              </c:ext>
            </c:extLst>
          </c:dPt>
          <c:cat>
            <c:strRef>
              <c:f>'Ponderación Variable (FIT)'!$E$5:$E$10</c:f>
              <c:strCache>
                <c:ptCount val="6"/>
                <c:pt idx="0">
                  <c:v>Recursos Turísticos Territoriales</c:v>
                </c:pt>
                <c:pt idx="1">
                  <c:v>Atractivos Turísticos</c:v>
                </c:pt>
                <c:pt idx="2">
                  <c:v>Prestadores de Servicios Turísticos</c:v>
                </c:pt>
                <c:pt idx="3">
                  <c:v>Productos Turísticos Territoriales</c:v>
                </c:pt>
                <c:pt idx="4">
                  <c:v>Infraestructura</c:v>
                </c:pt>
                <c:pt idx="5">
                  <c:v>Facilidades Turísticas</c:v>
                </c:pt>
              </c:strCache>
            </c:strRef>
          </c:cat>
          <c:val>
            <c:numRef>
              <c:f>'Ponderación Variable (FIT)'!$I$5:$I$10</c:f>
              <c:numCache>
                <c:formatCode>0%</c:formatCode>
                <c:ptCount val="6"/>
                <c:pt idx="0">
                  <c:v>0.83333333333333337</c:v>
                </c:pt>
                <c:pt idx="1">
                  <c:v>0.66666666666666663</c:v>
                </c:pt>
                <c:pt idx="2">
                  <c:v>0.44444444444444442</c:v>
                </c:pt>
                <c:pt idx="3">
                  <c:v>0</c:v>
                </c:pt>
                <c:pt idx="4">
                  <c:v>0.20833333333333334</c:v>
                </c:pt>
                <c:pt idx="5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D-4A59-926F-690A539A938A}"/>
            </c:ext>
          </c:extLst>
        </c:ser>
        <c:ser>
          <c:idx val="1"/>
          <c:order val="1"/>
          <c:tx>
            <c:strRef>
              <c:f>'Ponderación Variable (FIT)'!$J$4</c:f>
              <c:strCache>
                <c:ptCount val="1"/>
                <c:pt idx="0">
                  <c:v>Porcentaje 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932BE1D-AD48-483C-B5E1-EC080A4402D3}" type="CELLRANGE">
                      <a:rPr lang="en-US"/>
                      <a:pPr/>
                      <a:t>[CELLRANGE]</a:t>
                    </a:fld>
                    <a:endParaRPr lang="es-EC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FBD-4A59-926F-690A539A93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6426C4-6ED9-4AF2-A7DE-02A6D9FC44DD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DCD-4977-99AE-4A304C6872A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8669F7-15A0-4DDC-98B7-C706188632A2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DCD-4977-99AE-4A304C6872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FD0973-6D5E-4F37-B602-3BEC5FFF903C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DCD-4977-99AE-4A304C6872A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CAD1C9-1EE9-4557-A2B1-D1FF5F020EEE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DCD-4977-99AE-4A304C6872A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CEA86B-820F-410B-B4C2-DF5F8108D695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DCD-4977-99AE-4A304C6872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'Ponderación Variable (FIT)'!$E$5:$E$10</c:f>
              <c:strCache>
                <c:ptCount val="6"/>
                <c:pt idx="0">
                  <c:v>Recursos Turísticos Territoriales</c:v>
                </c:pt>
                <c:pt idx="1">
                  <c:v>Atractivos Turísticos</c:v>
                </c:pt>
                <c:pt idx="2">
                  <c:v>Prestadores de Servicios Turísticos</c:v>
                </c:pt>
                <c:pt idx="3">
                  <c:v>Productos Turísticos Territoriales</c:v>
                </c:pt>
                <c:pt idx="4">
                  <c:v>Infraestructura</c:v>
                </c:pt>
                <c:pt idx="5">
                  <c:v>Facilidades Turísticas</c:v>
                </c:pt>
              </c:strCache>
            </c:strRef>
          </c:cat>
          <c:val>
            <c:numRef>
              <c:f>'Ponderación Variable (FIT)'!$J$5:$J$10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'Ponderación Variable (FIT)'!$I$5:$I$10</c15:f>
                <c15:dlblRangeCache>
                  <c:ptCount val="6"/>
                  <c:pt idx="0">
                    <c:v>83%</c:v>
                  </c:pt>
                  <c:pt idx="1">
                    <c:v>67%</c:v>
                  </c:pt>
                  <c:pt idx="2">
                    <c:v>44%</c:v>
                  </c:pt>
                  <c:pt idx="3">
                    <c:v>0%</c:v>
                  </c:pt>
                  <c:pt idx="4">
                    <c:v>21%</c:v>
                  </c:pt>
                  <c:pt idx="5">
                    <c:v>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FBD-4A59-926F-690A539A9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-1567103872"/>
        <c:axId val="-1567103328"/>
      </c:barChart>
      <c:catAx>
        <c:axId val="-156710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67103328"/>
        <c:crosses val="autoZero"/>
        <c:auto val="1"/>
        <c:lblAlgn val="ctr"/>
        <c:lblOffset val="100"/>
        <c:noMultiLvlLbl val="0"/>
      </c:catAx>
      <c:valAx>
        <c:axId val="-1567103328"/>
        <c:scaling>
          <c:orientation val="minMax"/>
          <c:max val="1.1000000000000001"/>
        </c:scaling>
        <c:delete val="1"/>
        <c:axPos val="l"/>
        <c:numFmt formatCode="0%" sourceLinked="1"/>
        <c:majorTickMark val="none"/>
        <c:minorTickMark val="none"/>
        <c:tickLblPos val="nextTo"/>
        <c:crossAx val="-156710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26482389485726"/>
          <c:y val="0.1177549890055361"/>
          <c:w val="0.66817172559035398"/>
          <c:h val="0.8471295582033902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'Ponderación Variable (FET)'!$A$19:$A$21</c:f>
              <c:strCache>
                <c:ptCount val="3"/>
                <c:pt idx="0">
                  <c:v>Demanda Turística (Dt)</c:v>
                </c:pt>
                <c:pt idx="1">
                  <c:v>Superestructura (S)</c:v>
                </c:pt>
                <c:pt idx="2">
                  <c:v>Imagen del Sitio (Is)</c:v>
                </c:pt>
              </c:strCache>
            </c:strRef>
          </c:cat>
          <c:val>
            <c:numRef>
              <c:f>'Ponderación Variable (FET)'!$C$19:$C$21</c:f>
              <c:numCache>
                <c:formatCode>#,##0.00</c:formatCode>
                <c:ptCount val="3"/>
                <c:pt idx="0">
                  <c:v>0</c:v>
                </c:pt>
                <c:pt idx="1">
                  <c:v>2.3333333333333335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D-4E27-9BA7-CF590D7A7C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567107136"/>
        <c:axId val="-1567110944"/>
      </c:radarChart>
      <c:catAx>
        <c:axId val="-156710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67110944"/>
        <c:crosses val="autoZero"/>
        <c:auto val="1"/>
        <c:lblAlgn val="ctr"/>
        <c:lblOffset val="100"/>
        <c:noMultiLvlLbl val="0"/>
      </c:catAx>
      <c:valAx>
        <c:axId val="-1567110944"/>
        <c:scaling>
          <c:orientation val="minMax"/>
          <c:max val="3"/>
        </c:scaling>
        <c:delete val="1"/>
        <c:axPos val="l"/>
        <c:majorGridlines>
          <c:spPr>
            <a:ln w="38100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-15671071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'Ponderación Variable (FET)'!$I$4</c:f>
              <c:strCache>
                <c:ptCount val="1"/>
                <c:pt idx="0">
                  <c:v>Porcentaje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147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39-4F86-9BDC-841479BC20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9-4F86-9BDC-841479BC204A}"/>
              </c:ext>
            </c:extLst>
          </c:dPt>
          <c:dPt>
            <c:idx val="2"/>
            <c:invertIfNegative val="0"/>
            <c:bubble3D val="0"/>
            <c:spPr>
              <a:solidFill>
                <a:srgbClr val="36CB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39-4F86-9BDC-841479BC204A}"/>
              </c:ext>
            </c:extLst>
          </c:dPt>
          <c:cat>
            <c:strRef>
              <c:f>'Ponderación Variable (FET)'!$E$5:$E$7</c:f>
              <c:strCache>
                <c:ptCount val="3"/>
                <c:pt idx="0">
                  <c:v>Demanda Turística</c:v>
                </c:pt>
                <c:pt idx="1">
                  <c:v>Superestructura</c:v>
                </c:pt>
                <c:pt idx="2">
                  <c:v>Imagen del Sitio</c:v>
                </c:pt>
              </c:strCache>
            </c:strRef>
          </c:cat>
          <c:val>
            <c:numRef>
              <c:f>'Ponderación Variable (FET)'!$I$5:$I$7</c:f>
              <c:numCache>
                <c:formatCode>0%</c:formatCode>
                <c:ptCount val="3"/>
                <c:pt idx="0">
                  <c:v>0</c:v>
                </c:pt>
                <c:pt idx="1">
                  <c:v>0.77777777777777779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9-4F86-9BDC-841479BC204A}"/>
            </c:ext>
          </c:extLst>
        </c:ser>
        <c:ser>
          <c:idx val="1"/>
          <c:order val="1"/>
          <c:tx>
            <c:strRef>
              <c:f>'Ponderación Variable (FET)'!$J$4</c:f>
              <c:strCache>
                <c:ptCount val="1"/>
                <c:pt idx="0">
                  <c:v>Porcentaje 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96556C9-91A6-48E8-9113-18B9E163731C}" type="CELLRANGE">
                      <a:rPr lang="en-US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339-4F86-9BDC-841479BC20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F8012B-BEE4-47F6-AAF8-20EB8E071924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39-4253-82ED-74084E6E7B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99D7FB-0417-4E6F-9846-6E1970888D92}" type="CELLRANGE">
                      <a:rPr lang="es-EC"/>
                      <a:pPr/>
                      <a:t>[CELLRANGE]</a:t>
                    </a:fld>
                    <a:endParaRPr lang="es-EC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C39-4253-82ED-74084E6E7B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'Ponderación Variable (FET)'!$E$5:$E$7</c:f>
              <c:strCache>
                <c:ptCount val="3"/>
                <c:pt idx="0">
                  <c:v>Demanda Turística</c:v>
                </c:pt>
                <c:pt idx="1">
                  <c:v>Superestructura</c:v>
                </c:pt>
                <c:pt idx="2">
                  <c:v>Imagen del Sitio</c:v>
                </c:pt>
              </c:strCache>
            </c:strRef>
          </c:cat>
          <c:val>
            <c:numRef>
              <c:f>'Ponderación Variable (FET)'!$J$5:$J$7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'Ponderación Variable (FET)'!$I$5:$I$7</c15:f>
                <c15:dlblRangeCache>
                  <c:ptCount val="3"/>
                  <c:pt idx="0">
                    <c:v>0%</c:v>
                  </c:pt>
                  <c:pt idx="1">
                    <c:v>78%</c:v>
                  </c:pt>
                  <c:pt idx="2">
                    <c:v>67%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339-4F86-9BDC-841479BC2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-1567110400"/>
        <c:axId val="-1567099520"/>
      </c:barChart>
      <c:catAx>
        <c:axId val="-15671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567099520"/>
        <c:crosses val="autoZero"/>
        <c:auto val="1"/>
        <c:lblAlgn val="ctr"/>
        <c:lblOffset val="100"/>
        <c:noMultiLvlLbl val="0"/>
      </c:catAx>
      <c:valAx>
        <c:axId val="-1567099520"/>
        <c:scaling>
          <c:orientation val="minMax"/>
          <c:max val="1.100000000000000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-156711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21677251982879"/>
          <c:y val="1.6692749087115284E-2"/>
          <c:w val="0.351024208566108"/>
          <c:h val="0.983307250912884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800000"/>
                  </a:gs>
                  <a:gs pos="74000">
                    <a:srgbClr val="C00000">
                      <a:alpha val="84000"/>
                    </a:srgbClr>
                  </a:gs>
                  <a:gs pos="83000">
                    <a:srgbClr val="FF5757"/>
                  </a:gs>
                  <a:gs pos="100000">
                    <a:srgbClr val="FF5757"/>
                  </a:gs>
                </a:gsLst>
                <a:lin ang="18900000" scaled="1"/>
                <a:tileRect/>
              </a:gradFill>
              <a:ln>
                <a:noFill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prst="slop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E2D-4A18-B042-B975A555013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slop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2D-4A18-B042-B975A555013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lumMod val="50000"/>
                    </a:schemeClr>
                  </a:gs>
                  <a:gs pos="4800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slop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E2D-4A18-B042-B975A555013F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2D-4A18-B042-B975A555013F}"/>
              </c:ext>
            </c:extLst>
          </c:dPt>
          <c:val>
            <c:numRef>
              <c:f>'Gráfica Resultante'!$J$19:$J$22</c:f>
              <c:numCache>
                <c:formatCode>General</c:formatCode>
                <c:ptCount val="4"/>
                <c:pt idx="0">
                  <c:v>33.340000000000003</c:v>
                </c:pt>
                <c:pt idx="1">
                  <c:v>33.33</c:v>
                </c:pt>
                <c:pt idx="2">
                  <c:v>33.33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D-4A18-B042-B975A5550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29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28575" cap="rnd">
              <a:solidFill>
                <a:schemeClr val="tx1">
                  <a:alpha val="50000"/>
                </a:schemeClr>
              </a:solidFill>
              <a:round/>
              <a:tailEnd type="stealth"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A-8E2D-4A18-B042-B975A555013F}"/>
              </c:ext>
            </c:extLst>
          </c:dPt>
          <c:dPt>
            <c:idx val="1"/>
            <c:bubble3D val="0"/>
            <c:spPr>
              <a:ln w="38100" cap="rnd" cmpd="sng">
                <a:solidFill>
                  <a:schemeClr val="tx1">
                    <a:alpha val="50000"/>
                  </a:schemeClr>
                </a:solidFill>
                <a:round/>
                <a:headEnd type="oval"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E2D-4A18-B042-B975A555013F}"/>
              </c:ext>
            </c:extLst>
          </c:dPt>
          <c:xVal>
            <c:numRef>
              <c:f>'Gráfica Resultante'!$P$19:$P$20</c:f>
              <c:numCache>
                <c:formatCode>0.0000000</c:formatCode>
                <c:ptCount val="2"/>
                <c:pt idx="0" formatCode="General">
                  <c:v>0</c:v>
                </c:pt>
                <c:pt idx="1">
                  <c:v>0.12360147674049293</c:v>
                </c:pt>
              </c:numCache>
            </c:numRef>
          </c:xVal>
          <c:yVal>
            <c:numRef>
              <c:f>'Gráfica Resultante'!$Q$19:$Q$20</c:f>
              <c:numCache>
                <c:formatCode>0.0000000</c:formatCode>
                <c:ptCount val="2"/>
                <c:pt idx="0" formatCode="General">
                  <c:v>0</c:v>
                </c:pt>
                <c:pt idx="1">
                  <c:v>0.99233193788548868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2D-4A18-B042-B975A5550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67112032"/>
        <c:axId val="-1567108768"/>
      </c:scatterChart>
      <c:valAx>
        <c:axId val="-1567108768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-1567112032"/>
        <c:crosses val="autoZero"/>
        <c:crossBetween val="midCat"/>
      </c:valAx>
      <c:valAx>
        <c:axId val="-1567112032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-156710876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Matriz de Vocación</a:t>
            </a:r>
            <a:r>
              <a:rPr lang="es-EC" baseline="0"/>
              <a:t> Turística del Territorio</a:t>
            </a:r>
            <a:endParaRPr lang="es-EC"/>
          </a:p>
        </c:rich>
      </c:tx>
      <c:layout>
        <c:manualLayout>
          <c:xMode val="edge"/>
          <c:yMode val="edge"/>
          <c:x val="0.30790544032618217"/>
          <c:y val="4.8590080086143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03668836269233"/>
          <c:y val="0.15090543259557343"/>
          <c:w val="0.82753036174978256"/>
          <c:h val="0.710261569416498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'Gráfica Resultante'!$A$7</c:f>
              <c:strCache>
                <c:ptCount val="1"/>
                <c:pt idx="0">
                  <c:v>Sitio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20"/>
            <c:spPr>
              <a:solidFill>
                <a:schemeClr val="accent1">
                  <a:lumMod val="50000"/>
                </a:schemeClr>
              </a:solidFill>
              <a:ln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'Gráfica Resultante'!$C$7</c:f>
              <c:numCache>
                <c:formatCode>0.00</c:formatCode>
                <c:ptCount val="1"/>
                <c:pt idx="0">
                  <c:v>1.7333333333333334</c:v>
                </c:pt>
              </c:numCache>
            </c:numRef>
          </c:xVal>
          <c:yVal>
            <c:numRef>
              <c:f>'Gráfica Resultante'!$B$7</c:f>
              <c:numCache>
                <c:formatCode>0.00</c:formatCode>
                <c:ptCount val="1"/>
                <c:pt idx="0">
                  <c:v>1.5416666666666667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4-463C-A498-9B758BC0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67109856"/>
        <c:axId val="-1567106048"/>
      </c:scatterChart>
      <c:valAx>
        <c:axId val="-1567109856"/>
        <c:scaling>
          <c:orientation val="minMax"/>
          <c:max val="3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C"/>
                  <a:t>Factores Exttrínsecos Territoriales</a:t>
                </a:r>
              </a:p>
            </c:rich>
          </c:tx>
          <c:layout>
            <c:manualLayout>
              <c:xMode val="edge"/>
              <c:yMode val="edge"/>
              <c:x val="0.37898720964400734"/>
              <c:y val="0.926224044479647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-1567106048"/>
        <c:crosses val="autoZero"/>
        <c:crossBetween val="midCat"/>
        <c:minorUnit val="1"/>
      </c:valAx>
      <c:valAx>
        <c:axId val="-1567106048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C"/>
                  <a:t>Factores Intrínsecos Territoriales</a:t>
                </a:r>
              </a:p>
            </c:rich>
          </c:tx>
          <c:layout>
            <c:manualLayout>
              <c:xMode val="edge"/>
              <c:yMode val="edge"/>
              <c:x val="3.2103954352945996E-2"/>
              <c:y val="0.246583940321069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-156710985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" r="0.75" t="1" header="0" footer="0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498020</xdr:colOff>
      <xdr:row>26</xdr:row>
      <xdr:rowOff>16328</xdr:rowOff>
    </xdr:from>
    <xdr:to>
      <xdr:col>12</xdr:col>
      <xdr:colOff>78921</xdr:colOff>
      <xdr:row>46</xdr:row>
      <xdr:rowOff>69397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DF7CC7-8914-4E26-A3DA-9C3C9A831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263642</xdr:colOff>
      <xdr:row>2</xdr:row>
      <xdr:rowOff>166687</xdr:rowOff>
    </xdr:from>
    <xdr:to>
      <xdr:col>13</xdr:col>
      <xdr:colOff>321469</xdr:colOff>
      <xdr:row>23</xdr:row>
      <xdr:rowOff>100011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99F8711-6A91-8176-3161-B55DAB12B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1976436</xdr:colOff>
      <xdr:row>24</xdr:row>
      <xdr:rowOff>11905</xdr:rowOff>
    </xdr:from>
    <xdr:to>
      <xdr:col>23</xdr:col>
      <xdr:colOff>761999</xdr:colOff>
      <xdr:row>26</xdr:row>
      <xdr:rowOff>47624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A8A363A-A1C6-4E0A-D08E-CDCBAD8D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4" y="5226843"/>
          <a:ext cx="17478375" cy="488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16</xdr:row>
      <xdr:rowOff>230979</xdr:rowOff>
    </xdr:from>
    <xdr:to>
      <xdr:col>12</xdr:col>
      <xdr:colOff>11905</xdr:colOff>
      <xdr:row>36</xdr:row>
      <xdr:rowOff>166209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781FF-45B3-4F0C-9BDC-79DEB1BA3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291701</xdr:colOff>
      <xdr:row>2</xdr:row>
      <xdr:rowOff>178593</xdr:rowOff>
    </xdr:from>
    <xdr:to>
      <xdr:col>10</xdr:col>
      <xdr:colOff>619125</xdr:colOff>
      <xdr:row>14</xdr:row>
      <xdr:rowOff>154780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D907D2-08FC-C415-A21B-B05A0497B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642938</xdr:colOff>
      <xdr:row>15</xdr:row>
      <xdr:rowOff>83344</xdr:rowOff>
    </xdr:from>
    <xdr:to>
      <xdr:col>13</xdr:col>
      <xdr:colOff>738915</xdr:colOff>
      <xdr:row>17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752899-EC3A-4EA6-34DF-8FCE5B56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4844" y="4810125"/>
          <a:ext cx="8978040" cy="416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248129</xdr:colOff>
      <xdr:row>5</xdr:row>
      <xdr:rowOff>91326</xdr:rowOff>
    </xdr:from>
    <xdr:to>
      <xdr:col>8</xdr:col>
      <xdr:colOff>1764925</xdr:colOff>
      <xdr:row>6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6E0D885-40A4-F402-61D3-2BDF7DE461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00"/>
        <a:stretch/>
      </xdr:blipFill>
      <xdr:spPr bwMode="auto">
        <a:xfrm>
          <a:off x="2125114" y="875738"/>
          <a:ext cx="7133745" cy="496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284390</xdr:colOff>
      <xdr:row>9</xdr:row>
      <xdr:rowOff>30737</xdr:rowOff>
    </xdr:from>
    <xdr:to>
      <xdr:col>20</xdr:col>
      <xdr:colOff>332015</xdr:colOff>
      <xdr:row>42</xdr:row>
      <xdr:rowOff>180974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63F22772-D209-AEE1-FBF7-3DB4FA0DDFBD}"/>
            </a:ext>
          </a:extLst>
        </xdr:cNvPr>
        <xdr:cNvGrpSpPr/>
      </xdr:nvGrpSpPr>
      <xdr:grpSpPr>
        <a:xfrm>
          <a:off x="7028090" y="2278637"/>
          <a:ext cx="19345275" cy="6379587"/>
          <a:chOff x="7019926" y="1948565"/>
          <a:chExt cx="18947946" cy="6437516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8A7EB85E-A138-0654-0CCD-7C2276692B19}"/>
              </a:ext>
            </a:extLst>
          </xdr:cNvPr>
          <xdr:cNvGraphicFramePr/>
        </xdr:nvGraphicFramePr>
        <xdr:xfrm>
          <a:off x="7019926" y="2299606"/>
          <a:ext cx="18947946" cy="60864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D$7">
        <xdr:nvSpPr>
          <xdr:cNvPr id="14" name="CuadroTexto 13">
            <a:extLst>
              <a:ext uri="{FF2B5EF4-FFF2-40B4-BE49-F238E27FC236}">
                <a16:creationId xmlns:a16="http://schemas.microsoft.com/office/drawing/2014/main" id="{056C35E6-CBE3-4AB4-F11B-2F5A137271C5}"/>
              </a:ext>
            </a:extLst>
          </xdr:cNvPr>
          <xdr:cNvSpPr txBox="1"/>
        </xdr:nvSpPr>
        <xdr:spPr>
          <a:xfrm>
            <a:off x="12075750" y="5596618"/>
            <a:ext cx="4483554" cy="447675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A0D410C-D5C1-44F3-9942-B96843906F7E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1,62</a:t>
            </a:fld>
            <a:endParaRPr lang="es-EC" sz="2400" b="1"/>
          </a:p>
        </xdr:txBody>
      </xdr:sp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0682C835-B734-6C97-2B0A-7DDABD366037}"/>
              </a:ext>
            </a:extLst>
          </xdr:cNvPr>
          <xdr:cNvSpPr/>
        </xdr:nvSpPr>
        <xdr:spPr>
          <a:xfrm>
            <a:off x="14224906" y="5320393"/>
            <a:ext cx="180000" cy="180000"/>
          </a:xfrm>
          <a:prstGeom prst="ellipse">
            <a:avLst/>
          </a:prstGeom>
          <a:solidFill>
            <a:schemeClr val="tx1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C" sz="1100"/>
          </a:p>
        </xdr:txBody>
      </xdr:sp>
      <xdr:sp macro="" textlink="">
        <xdr:nvSpPr>
          <xdr:cNvPr id="16" name="CuadroTexto 1">
            <a:extLst>
              <a:ext uri="{FF2B5EF4-FFF2-40B4-BE49-F238E27FC236}">
                <a16:creationId xmlns:a16="http://schemas.microsoft.com/office/drawing/2014/main" id="{EAD5FD40-9E69-1135-FEED-D1E588E04CDF}"/>
              </a:ext>
            </a:extLst>
          </xdr:cNvPr>
          <xdr:cNvSpPr txBox="1"/>
        </xdr:nvSpPr>
        <xdr:spPr>
          <a:xfrm>
            <a:off x="12150646" y="1948565"/>
            <a:ext cx="4359729" cy="457200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EC" sz="1100" b="1"/>
              <a:t>Mediana Vocación Turística</a:t>
            </a:r>
          </a:p>
        </xdr:txBody>
      </xdr:sp>
    </xdr:grpSp>
    <xdr:clientData/>
  </xdr:twoCellAnchor>
  <xdr:twoCellAnchor>
    <xdr:from>
      <xdr:col>0</xdr:col>
      <xdr:colOff>0</xdr:colOff>
      <xdr:row>8</xdr:row>
      <xdr:rowOff>84043</xdr:rowOff>
    </xdr:from>
    <xdr:to>
      <xdr:col>7</xdr:col>
      <xdr:colOff>312963</xdr:colOff>
      <xdr:row>33</xdr:row>
      <xdr:rowOff>107892</xdr:rowOff>
    </xdr:to>
    <xdr:graphicFrame macro="">
      <xdr:nvGraphicFramePr>
        <xdr:cNvPr id="23" name="Gráfico 25">
          <a:extLst>
            <a:ext uri="{FF2B5EF4-FFF2-40B4-BE49-F238E27FC236}">
              <a16:creationId xmlns:a16="http://schemas.microsoft.com/office/drawing/2014/main" id="{15483E33-C27E-46B7-931F-7E0B4EB64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0.11967</cdr:x>
      <cdr:y>0.19865</cdr:y>
    </cdr:from>
    <cdr:to>
      <cdr:x>0.26635</cdr:x>
      <cdr:y>0.32652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D9C30D9-EC80-9991-293D-48223CE3D5FB}"/>
            </a:ext>
          </a:extLst>
        </cdr:cNvPr>
        <cdr:cNvSpPr txBox="1"/>
      </cdr:nvSpPr>
      <cdr:spPr>
        <a:xfrm xmlns:a="http://schemas.openxmlformats.org/drawingml/2006/main">
          <a:off x="2267410" y="1209106"/>
          <a:ext cx="2779326" cy="7782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EC" sz="1100" b="1"/>
            <a:t>Baja Vocación Turística</a:t>
          </a:r>
        </a:p>
      </cdr:txBody>
    </cdr:sp>
  </cdr:relSizeAnchor>
  <cdr:relSizeAnchor xmlns:cdr="http://schemas.openxmlformats.org/drawingml/2006/chartDrawing">
    <cdr:from>
      <cdr:x>0.49743</cdr:x>
      <cdr:y>0.18407</cdr:y>
    </cdr:from>
    <cdr:to>
      <cdr:x>0.64411</cdr:x>
      <cdr:y>0.31194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EA440841-72B5-B797-17BF-FF06C6707319}"/>
            </a:ext>
          </a:extLst>
        </cdr:cNvPr>
        <cdr:cNvSpPr txBox="1"/>
      </cdr:nvSpPr>
      <cdr:spPr>
        <a:xfrm xmlns:a="http://schemas.openxmlformats.org/drawingml/2006/main">
          <a:off x="9425209" y="1120352"/>
          <a:ext cx="2779327" cy="7782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C" sz="1100" b="1"/>
            <a:t>Alta Vocación Turística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="82" zoomScaleNormal="82" workbookViewId="0">
      <selection activeCell="C22" sqref="C22"/>
    </sheetView>
  </sheetViews>
  <sheetFormatPr baseColWidth="10" defaultColWidth="11.42578125" defaultRowHeight="15" x14ac:dyDescent="0.25"/>
  <cols>
    <col min="1" max="1" width="20.7109375" style="1" customWidth="1"/>
    <col min="2" max="2" width="40.7109375" style="1" customWidth="1"/>
    <col min="3" max="3" width="20.7109375" style="1" customWidth="1"/>
    <col min="4" max="4" width="62.7109375" style="1" customWidth="1"/>
    <col min="5" max="16384" width="11.42578125" style="1"/>
  </cols>
  <sheetData>
    <row r="1" spans="1:4" ht="9" customHeight="1" x14ac:dyDescent="0.25"/>
    <row r="2" spans="1:4" x14ac:dyDescent="0.25">
      <c r="A2" s="16" t="s">
        <v>183</v>
      </c>
      <c r="B2" s="16"/>
      <c r="C2" s="16"/>
      <c r="D2" s="17"/>
    </row>
    <row r="4" spans="1:4" ht="21" x14ac:dyDescent="0.35">
      <c r="A4" s="74" t="s">
        <v>12</v>
      </c>
      <c r="B4" s="74"/>
      <c r="C4" s="74"/>
      <c r="D4" s="74"/>
    </row>
    <row r="5" spans="1:4" x14ac:dyDescent="0.25">
      <c r="A5" s="28" t="s">
        <v>13</v>
      </c>
      <c r="B5" s="29" t="s">
        <v>0</v>
      </c>
      <c r="C5" s="28" t="s">
        <v>14</v>
      </c>
      <c r="D5" s="29" t="s">
        <v>0</v>
      </c>
    </row>
    <row r="6" spans="1:4" ht="30" x14ac:dyDescent="0.25">
      <c r="A6" s="71" t="s">
        <v>15</v>
      </c>
      <c r="B6" s="75" t="s">
        <v>31</v>
      </c>
      <c r="C6" s="19" t="s">
        <v>16</v>
      </c>
      <c r="D6" s="20" t="s">
        <v>32</v>
      </c>
    </row>
    <row r="7" spans="1:4" ht="45" x14ac:dyDescent="0.25">
      <c r="A7" s="72"/>
      <c r="B7" s="75"/>
      <c r="C7" s="19" t="s">
        <v>17</v>
      </c>
      <c r="D7" s="20" t="s">
        <v>33</v>
      </c>
    </row>
    <row r="8" spans="1:4" ht="60" x14ac:dyDescent="0.25">
      <c r="A8" s="72"/>
      <c r="B8" s="75"/>
      <c r="C8" s="19" t="s">
        <v>18</v>
      </c>
      <c r="D8" s="20" t="s">
        <v>34</v>
      </c>
    </row>
    <row r="9" spans="1:4" ht="60" x14ac:dyDescent="0.25">
      <c r="A9" s="73"/>
      <c r="B9" s="75"/>
      <c r="C9" s="19" t="s">
        <v>19</v>
      </c>
      <c r="D9" s="20" t="s">
        <v>35</v>
      </c>
    </row>
    <row r="10" spans="1:4" ht="45" x14ac:dyDescent="0.25">
      <c r="A10" s="78" t="s">
        <v>11</v>
      </c>
      <c r="B10" s="76" t="s">
        <v>36</v>
      </c>
      <c r="C10" s="19" t="s">
        <v>20</v>
      </c>
      <c r="D10" s="21" t="s">
        <v>37</v>
      </c>
    </row>
    <row r="11" spans="1:4" ht="60" x14ac:dyDescent="0.25">
      <c r="A11" s="79"/>
      <c r="B11" s="77"/>
      <c r="C11" s="19" t="s">
        <v>21</v>
      </c>
      <c r="D11" s="18" t="s">
        <v>38</v>
      </c>
    </row>
    <row r="12" spans="1:4" ht="75" x14ac:dyDescent="0.25">
      <c r="A12" s="71" t="s">
        <v>212</v>
      </c>
      <c r="B12" s="68" t="s">
        <v>194</v>
      </c>
      <c r="C12" s="61" t="s">
        <v>195</v>
      </c>
      <c r="D12" s="59" t="s">
        <v>205</v>
      </c>
    </row>
    <row r="13" spans="1:4" ht="75" x14ac:dyDescent="0.25">
      <c r="A13" s="72"/>
      <c r="B13" s="69"/>
      <c r="C13" s="61" t="s">
        <v>203</v>
      </c>
      <c r="D13" s="59" t="s">
        <v>204</v>
      </c>
    </row>
    <row r="14" spans="1:4" ht="45" x14ac:dyDescent="0.25">
      <c r="A14" s="72"/>
      <c r="B14" s="69"/>
      <c r="C14" s="61" t="s">
        <v>201</v>
      </c>
      <c r="D14" s="60" t="s">
        <v>206</v>
      </c>
    </row>
    <row r="15" spans="1:4" ht="60" x14ac:dyDescent="0.25">
      <c r="A15" s="72"/>
      <c r="B15" s="69"/>
      <c r="C15" s="61" t="s">
        <v>197</v>
      </c>
      <c r="D15" s="59" t="s">
        <v>207</v>
      </c>
    </row>
    <row r="16" spans="1:4" ht="60" x14ac:dyDescent="0.25">
      <c r="A16" s="72"/>
      <c r="B16" s="69"/>
      <c r="C16" s="61" t="s">
        <v>216</v>
      </c>
      <c r="D16" s="59" t="s">
        <v>208</v>
      </c>
    </row>
    <row r="17" spans="1:4" ht="45" x14ac:dyDescent="0.25">
      <c r="A17" s="72"/>
      <c r="B17" s="69"/>
      <c r="C17" s="61" t="s">
        <v>198</v>
      </c>
      <c r="D17" s="62" t="s">
        <v>211</v>
      </c>
    </row>
    <row r="18" spans="1:4" ht="45" x14ac:dyDescent="0.25">
      <c r="A18" s="72"/>
      <c r="B18" s="69"/>
      <c r="C18" s="61" t="s">
        <v>199</v>
      </c>
      <c r="D18" s="59" t="s">
        <v>209</v>
      </c>
    </row>
    <row r="19" spans="1:4" ht="45" x14ac:dyDescent="0.25">
      <c r="A19" s="73"/>
      <c r="B19" s="70"/>
      <c r="C19" s="61" t="s">
        <v>200</v>
      </c>
      <c r="D19" s="59" t="s">
        <v>210</v>
      </c>
    </row>
  </sheetData>
  <sheetProtection algorithmName="SHA-512" hashValue="FUFGgIsP2tVoTDC8JS1btZTD2ULYymgkwx27NtNkEGaxmD5B+gCdjMLF7Jv0Eqz8j6DnaJ3Teid3YzYlIvSrSQ==" saltValue="TPJc8KemSGhH4jFt8GExKg==" spinCount="100000" sheet="1" objects="1" scenarios="1"/>
  <mergeCells count="7">
    <mergeCell ref="B12:B19"/>
    <mergeCell ref="A12:A19"/>
    <mergeCell ref="A4:D4"/>
    <mergeCell ref="B6:B9"/>
    <mergeCell ref="A6:A9"/>
    <mergeCell ref="B10:B11"/>
    <mergeCell ref="A10:A11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opLeftCell="A4" workbookViewId="0">
      <selection activeCell="C14" sqref="C14"/>
    </sheetView>
  </sheetViews>
  <sheetFormatPr baseColWidth="10" defaultColWidth="11.42578125" defaultRowHeight="15" x14ac:dyDescent="0.25"/>
  <cols>
    <col min="1" max="1" width="20.7109375" style="1" customWidth="1"/>
    <col min="2" max="2" width="40.7109375" style="1" customWidth="1"/>
    <col min="3" max="3" width="20.7109375" style="1" customWidth="1"/>
    <col min="4" max="4" width="62.7109375" style="1" customWidth="1"/>
    <col min="5" max="16384" width="11.42578125" style="1"/>
  </cols>
  <sheetData>
    <row r="1" spans="1:5" ht="8.25" customHeight="1" x14ac:dyDescent="0.25"/>
    <row r="2" spans="1:5" x14ac:dyDescent="0.25">
      <c r="A2" s="16" t="s">
        <v>183</v>
      </c>
      <c r="B2" s="16"/>
      <c r="C2" s="16"/>
      <c r="D2" s="16"/>
      <c r="E2" s="16"/>
    </row>
    <row r="4" spans="1:5" ht="21" x14ac:dyDescent="0.35">
      <c r="A4" s="81" t="s">
        <v>22</v>
      </c>
      <c r="B4" s="81"/>
      <c r="C4" s="81"/>
      <c r="D4" s="81"/>
    </row>
    <row r="5" spans="1:5" x14ac:dyDescent="0.25">
      <c r="A5" s="28" t="s">
        <v>23</v>
      </c>
      <c r="B5" s="29" t="s">
        <v>0</v>
      </c>
      <c r="C5" s="29" t="s">
        <v>23</v>
      </c>
      <c r="D5" s="29" t="s">
        <v>0</v>
      </c>
    </row>
    <row r="6" spans="1:5" ht="60" x14ac:dyDescent="0.25">
      <c r="A6" s="71" t="s">
        <v>25</v>
      </c>
      <c r="B6" s="75" t="s">
        <v>30</v>
      </c>
      <c r="C6" s="20" t="s">
        <v>28</v>
      </c>
      <c r="D6" s="24" t="s">
        <v>39</v>
      </c>
    </row>
    <row r="7" spans="1:5" ht="60" x14ac:dyDescent="0.25">
      <c r="A7" s="73"/>
      <c r="B7" s="75"/>
      <c r="C7" s="20" t="s">
        <v>29</v>
      </c>
      <c r="D7" s="24" t="s">
        <v>40</v>
      </c>
    </row>
    <row r="8" spans="1:5" ht="60" x14ac:dyDescent="0.25">
      <c r="A8" s="72" t="s">
        <v>26</v>
      </c>
      <c r="B8" s="76" t="s">
        <v>41</v>
      </c>
      <c r="C8" s="20" t="s">
        <v>43</v>
      </c>
      <c r="D8" s="24" t="s">
        <v>42</v>
      </c>
    </row>
    <row r="9" spans="1:5" ht="60" x14ac:dyDescent="0.25">
      <c r="A9" s="72"/>
      <c r="B9" s="77"/>
      <c r="C9" s="26" t="s">
        <v>255</v>
      </c>
      <c r="D9" s="26" t="s">
        <v>256</v>
      </c>
    </row>
    <row r="10" spans="1:5" ht="75" x14ac:dyDescent="0.25">
      <c r="A10" s="72"/>
      <c r="B10" s="77"/>
      <c r="C10" s="25" t="s">
        <v>44</v>
      </c>
      <c r="D10" s="26" t="s">
        <v>45</v>
      </c>
    </row>
    <row r="11" spans="1:5" ht="60" x14ac:dyDescent="0.25">
      <c r="A11" s="71" t="s">
        <v>27</v>
      </c>
      <c r="B11" s="76" t="s">
        <v>50</v>
      </c>
      <c r="C11" s="20" t="s">
        <v>46</v>
      </c>
      <c r="D11" s="20" t="s">
        <v>47</v>
      </c>
    </row>
    <row r="12" spans="1:5" ht="45" x14ac:dyDescent="0.25">
      <c r="A12" s="72"/>
      <c r="B12" s="75"/>
      <c r="C12" s="20" t="s">
        <v>174</v>
      </c>
      <c r="D12" s="20" t="s">
        <v>175</v>
      </c>
    </row>
    <row r="13" spans="1:5" ht="60" x14ac:dyDescent="0.25">
      <c r="A13" s="72"/>
      <c r="B13" s="77"/>
      <c r="C13" s="20" t="s">
        <v>48</v>
      </c>
      <c r="D13" s="20" t="s">
        <v>51</v>
      </c>
    </row>
    <row r="14" spans="1:5" ht="75" x14ac:dyDescent="0.25">
      <c r="A14" s="73"/>
      <c r="B14" s="80"/>
      <c r="C14" s="22" t="s">
        <v>49</v>
      </c>
      <c r="D14" s="22" t="s">
        <v>52</v>
      </c>
    </row>
  </sheetData>
  <sheetProtection algorithmName="SHA-512" hashValue="VK6xrmlyLJUH6/qrTK3Jgj4eAmRt1Rgz7INSJU5oghsXi8SQu8os0+6tTdU2W2Am2jwXNs9x7GiRkJtaLjIy/w==" saltValue="HLFgXhGoO3SYtcq88+uE3A==" spinCount="100000" sheet="1" objects="1" scenarios="1"/>
  <mergeCells count="7">
    <mergeCell ref="A11:A14"/>
    <mergeCell ref="B11:B14"/>
    <mergeCell ref="A4:D4"/>
    <mergeCell ref="A6:A7"/>
    <mergeCell ref="B6:B7"/>
    <mergeCell ref="A8:A10"/>
    <mergeCell ref="B8:B1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77"/>
  <sheetViews>
    <sheetView zoomScale="71" zoomScaleNormal="71" workbookViewId="0">
      <selection activeCell="I7" sqref="I7"/>
    </sheetView>
  </sheetViews>
  <sheetFormatPr baseColWidth="10" defaultColWidth="11.42578125" defaultRowHeight="15" x14ac:dyDescent="0.25"/>
  <cols>
    <col min="1" max="2" width="20.42578125" style="1" customWidth="1"/>
    <col min="3" max="3" width="28" style="1" customWidth="1"/>
    <col min="4" max="4" width="49.5703125" style="1" customWidth="1"/>
    <col min="5" max="5" width="27.85546875" style="1" customWidth="1"/>
    <col min="6" max="16384" width="11.42578125" style="1"/>
  </cols>
  <sheetData>
    <row r="2" spans="1:5" x14ac:dyDescent="0.25">
      <c r="A2" s="90" t="s">
        <v>184</v>
      </c>
      <c r="B2" s="90"/>
      <c r="C2" s="90"/>
      <c r="D2" s="90"/>
    </row>
    <row r="4" spans="1:5" ht="21" x14ac:dyDescent="0.35">
      <c r="A4" s="74" t="s">
        <v>55</v>
      </c>
      <c r="B4" s="74"/>
      <c r="C4" s="74"/>
      <c r="D4" s="74"/>
      <c r="E4" s="74"/>
    </row>
    <row r="5" spans="1:5" x14ac:dyDescent="0.25">
      <c r="A5" s="28" t="s">
        <v>23</v>
      </c>
      <c r="B5" s="28" t="s">
        <v>24</v>
      </c>
      <c r="C5" s="29" t="s">
        <v>146</v>
      </c>
      <c r="D5" s="28" t="s">
        <v>3</v>
      </c>
      <c r="E5" s="63" t="s">
        <v>4</v>
      </c>
    </row>
    <row r="6" spans="1:5" ht="30.75" customHeight="1" x14ac:dyDescent="0.25">
      <c r="A6" s="91" t="s">
        <v>15</v>
      </c>
      <c r="B6" s="71" t="s">
        <v>16</v>
      </c>
      <c r="C6" s="76" t="s">
        <v>147</v>
      </c>
      <c r="D6" s="64" t="s">
        <v>149</v>
      </c>
      <c r="E6" s="76" t="s">
        <v>218</v>
      </c>
    </row>
    <row r="7" spans="1:5" ht="45" x14ac:dyDescent="0.25">
      <c r="A7" s="92"/>
      <c r="B7" s="72"/>
      <c r="C7" s="75"/>
      <c r="D7" s="65" t="s">
        <v>150</v>
      </c>
      <c r="E7" s="75"/>
    </row>
    <row r="8" spans="1:5" ht="45" x14ac:dyDescent="0.25">
      <c r="A8" s="92"/>
      <c r="B8" s="72"/>
      <c r="C8" s="75"/>
      <c r="D8" s="65" t="s">
        <v>185</v>
      </c>
      <c r="E8" s="75"/>
    </row>
    <row r="9" spans="1:5" ht="33" customHeight="1" x14ac:dyDescent="0.25">
      <c r="A9" s="92"/>
      <c r="B9" s="72"/>
      <c r="C9" s="75"/>
      <c r="D9" s="65" t="s">
        <v>151</v>
      </c>
      <c r="E9" s="75"/>
    </row>
    <row r="10" spans="1:5" ht="33" customHeight="1" x14ac:dyDescent="0.25">
      <c r="A10" s="92"/>
      <c r="B10" s="72"/>
      <c r="C10" s="76" t="s">
        <v>148</v>
      </c>
      <c r="D10" s="66" t="s">
        <v>152</v>
      </c>
      <c r="E10" s="75"/>
    </row>
    <row r="11" spans="1:5" ht="45" x14ac:dyDescent="0.25">
      <c r="A11" s="92"/>
      <c r="B11" s="72"/>
      <c r="C11" s="75"/>
      <c r="D11" s="65" t="s">
        <v>153</v>
      </c>
      <c r="E11" s="75"/>
    </row>
    <row r="12" spans="1:5" ht="45" x14ac:dyDescent="0.25">
      <c r="A12" s="92"/>
      <c r="B12" s="72"/>
      <c r="C12" s="75"/>
      <c r="D12" s="65" t="s">
        <v>154</v>
      </c>
      <c r="E12" s="75"/>
    </row>
    <row r="13" spans="1:5" ht="35.25" customHeight="1" x14ac:dyDescent="0.25">
      <c r="A13" s="92"/>
      <c r="B13" s="73"/>
      <c r="C13" s="88"/>
      <c r="D13" s="65" t="s">
        <v>155</v>
      </c>
      <c r="E13" s="88"/>
    </row>
    <row r="14" spans="1:5" ht="30" x14ac:dyDescent="0.25">
      <c r="A14" s="92"/>
      <c r="B14" s="78" t="s">
        <v>17</v>
      </c>
      <c r="C14" s="89" t="s">
        <v>66</v>
      </c>
      <c r="D14" s="66" t="s">
        <v>156</v>
      </c>
      <c r="E14" s="76" t="s">
        <v>219</v>
      </c>
    </row>
    <row r="15" spans="1:5" ht="30" x14ac:dyDescent="0.25">
      <c r="A15" s="92"/>
      <c r="B15" s="94"/>
      <c r="C15" s="77"/>
      <c r="D15" s="65" t="s">
        <v>157</v>
      </c>
      <c r="E15" s="75"/>
    </row>
    <row r="16" spans="1:5" ht="30" x14ac:dyDescent="0.25">
      <c r="A16" s="92"/>
      <c r="B16" s="94"/>
      <c r="C16" s="77"/>
      <c r="D16" s="65" t="s">
        <v>158</v>
      </c>
      <c r="E16" s="75"/>
    </row>
    <row r="17" spans="1:5" ht="30" x14ac:dyDescent="0.25">
      <c r="A17" s="92"/>
      <c r="B17" s="94"/>
      <c r="C17" s="80"/>
      <c r="D17" s="65" t="s">
        <v>159</v>
      </c>
      <c r="E17" s="75"/>
    </row>
    <row r="18" spans="1:5" ht="30" x14ac:dyDescent="0.25">
      <c r="A18" s="92"/>
      <c r="B18" s="94"/>
      <c r="C18" s="76" t="s">
        <v>2</v>
      </c>
      <c r="D18" s="65" t="s">
        <v>160</v>
      </c>
      <c r="E18" s="75"/>
    </row>
    <row r="19" spans="1:5" ht="30" x14ac:dyDescent="0.25">
      <c r="A19" s="92"/>
      <c r="B19" s="94"/>
      <c r="C19" s="75"/>
      <c r="D19" s="65" t="s">
        <v>161</v>
      </c>
      <c r="E19" s="75"/>
    </row>
    <row r="20" spans="1:5" ht="30" x14ac:dyDescent="0.25">
      <c r="A20" s="92"/>
      <c r="B20" s="94"/>
      <c r="C20" s="75"/>
      <c r="D20" s="65" t="s">
        <v>162</v>
      </c>
      <c r="E20" s="75"/>
    </row>
    <row r="21" spans="1:5" ht="37.5" customHeight="1" x14ac:dyDescent="0.25">
      <c r="A21" s="92"/>
      <c r="B21" s="79"/>
      <c r="C21" s="88"/>
      <c r="D21" s="64" t="s">
        <v>163</v>
      </c>
      <c r="E21" s="88"/>
    </row>
    <row r="22" spans="1:5" ht="30" x14ac:dyDescent="0.25">
      <c r="A22" s="92"/>
      <c r="B22" s="71" t="s">
        <v>18</v>
      </c>
      <c r="C22" s="76" t="s">
        <v>67</v>
      </c>
      <c r="D22" s="65" t="s">
        <v>186</v>
      </c>
      <c r="E22" s="76" t="s">
        <v>220</v>
      </c>
    </row>
    <row r="23" spans="1:5" ht="30" x14ac:dyDescent="0.25">
      <c r="A23" s="92"/>
      <c r="B23" s="72"/>
      <c r="C23" s="75"/>
      <c r="D23" s="65" t="s">
        <v>187</v>
      </c>
      <c r="E23" s="75"/>
    </row>
    <row r="24" spans="1:5" ht="45" x14ac:dyDescent="0.25">
      <c r="A24" s="92"/>
      <c r="B24" s="72"/>
      <c r="C24" s="75"/>
      <c r="D24" s="65" t="s">
        <v>188</v>
      </c>
      <c r="E24" s="75"/>
    </row>
    <row r="25" spans="1:5" ht="45" x14ac:dyDescent="0.25">
      <c r="A25" s="92"/>
      <c r="B25" s="72"/>
      <c r="C25" s="88"/>
      <c r="D25" s="65" t="s">
        <v>189</v>
      </c>
      <c r="E25" s="75"/>
    </row>
    <row r="26" spans="1:5" ht="30" x14ac:dyDescent="0.25">
      <c r="A26" s="92"/>
      <c r="B26" s="72"/>
      <c r="C26" s="76" t="s">
        <v>68</v>
      </c>
      <c r="D26" s="65" t="s">
        <v>191</v>
      </c>
      <c r="E26" s="75"/>
    </row>
    <row r="27" spans="1:5" ht="30" x14ac:dyDescent="0.25">
      <c r="A27" s="92"/>
      <c r="B27" s="72"/>
      <c r="C27" s="75"/>
      <c r="D27" s="65" t="s">
        <v>190</v>
      </c>
      <c r="E27" s="75"/>
    </row>
    <row r="28" spans="1:5" ht="45" x14ac:dyDescent="0.25">
      <c r="A28" s="92"/>
      <c r="B28" s="72"/>
      <c r="C28" s="75"/>
      <c r="D28" s="65" t="s">
        <v>192</v>
      </c>
      <c r="E28" s="75"/>
    </row>
    <row r="29" spans="1:5" ht="45" x14ac:dyDescent="0.25">
      <c r="A29" s="92"/>
      <c r="B29" s="72"/>
      <c r="C29" s="88"/>
      <c r="D29" s="65" t="s">
        <v>193</v>
      </c>
      <c r="E29" s="75"/>
    </row>
    <row r="30" spans="1:5" ht="30" x14ac:dyDescent="0.25">
      <c r="A30" s="92"/>
      <c r="B30" s="72"/>
      <c r="C30" s="76" t="s">
        <v>168</v>
      </c>
      <c r="D30" s="65" t="s">
        <v>169</v>
      </c>
      <c r="E30" s="75"/>
    </row>
    <row r="31" spans="1:5" ht="30" x14ac:dyDescent="0.25">
      <c r="A31" s="92"/>
      <c r="B31" s="72"/>
      <c r="C31" s="75"/>
      <c r="D31" s="65" t="s">
        <v>170</v>
      </c>
      <c r="E31" s="75"/>
    </row>
    <row r="32" spans="1:5" ht="30" x14ac:dyDescent="0.25">
      <c r="A32" s="92"/>
      <c r="B32" s="72"/>
      <c r="C32" s="75"/>
      <c r="D32" s="65" t="s">
        <v>171</v>
      </c>
      <c r="E32" s="75"/>
    </row>
    <row r="33" spans="1:5" ht="30" x14ac:dyDescent="0.25">
      <c r="A33" s="92"/>
      <c r="B33" s="72"/>
      <c r="C33" s="88"/>
      <c r="D33" s="65" t="s">
        <v>172</v>
      </c>
      <c r="E33" s="88"/>
    </row>
    <row r="34" spans="1:5" ht="30" x14ac:dyDescent="0.25">
      <c r="A34" s="92"/>
      <c r="B34" s="76" t="s">
        <v>19</v>
      </c>
      <c r="C34" s="76"/>
      <c r="D34" s="67" t="s">
        <v>164</v>
      </c>
      <c r="E34" s="76" t="s">
        <v>167</v>
      </c>
    </row>
    <row r="35" spans="1:5" ht="30" x14ac:dyDescent="0.25">
      <c r="A35" s="92"/>
      <c r="B35" s="75"/>
      <c r="C35" s="75"/>
      <c r="D35" s="65" t="s">
        <v>173</v>
      </c>
      <c r="E35" s="75"/>
    </row>
    <row r="36" spans="1:5" ht="30" x14ac:dyDescent="0.25">
      <c r="A36" s="92"/>
      <c r="B36" s="75"/>
      <c r="C36" s="75"/>
      <c r="D36" s="65" t="s">
        <v>165</v>
      </c>
      <c r="E36" s="75"/>
    </row>
    <row r="37" spans="1:5" ht="30" x14ac:dyDescent="0.25">
      <c r="A37" s="93"/>
      <c r="B37" s="88"/>
      <c r="C37" s="88"/>
      <c r="D37" s="65" t="s">
        <v>166</v>
      </c>
      <c r="E37" s="88"/>
    </row>
    <row r="38" spans="1:5" ht="30" x14ac:dyDescent="0.25">
      <c r="A38" s="91" t="s">
        <v>11</v>
      </c>
      <c r="B38" s="76" t="s">
        <v>53</v>
      </c>
      <c r="C38" s="76"/>
      <c r="D38" s="67" t="s">
        <v>139</v>
      </c>
      <c r="E38" s="76" t="s">
        <v>221</v>
      </c>
    </row>
    <row r="39" spans="1:5" ht="30" x14ac:dyDescent="0.25">
      <c r="A39" s="92"/>
      <c r="B39" s="75"/>
      <c r="C39" s="75"/>
      <c r="D39" s="66" t="s">
        <v>140</v>
      </c>
      <c r="E39" s="83"/>
    </row>
    <row r="40" spans="1:5" ht="45" x14ac:dyDescent="0.25">
      <c r="A40" s="92"/>
      <c r="B40" s="75"/>
      <c r="C40" s="75"/>
      <c r="D40" s="65" t="s">
        <v>141</v>
      </c>
      <c r="E40" s="83"/>
    </row>
    <row r="41" spans="1:5" ht="45" customHeight="1" x14ac:dyDescent="0.25">
      <c r="A41" s="92"/>
      <c r="B41" s="75"/>
      <c r="C41" s="75"/>
      <c r="D41" s="66" t="s">
        <v>142</v>
      </c>
      <c r="E41" s="84"/>
    </row>
    <row r="42" spans="1:5" ht="30.75" customHeight="1" x14ac:dyDescent="0.25">
      <c r="A42" s="92"/>
      <c r="B42" s="76" t="s">
        <v>54</v>
      </c>
      <c r="C42" s="76"/>
      <c r="D42" s="65" t="s">
        <v>143</v>
      </c>
      <c r="E42" s="76" t="s">
        <v>221</v>
      </c>
    </row>
    <row r="43" spans="1:5" ht="45" x14ac:dyDescent="0.25">
      <c r="A43" s="92"/>
      <c r="B43" s="75"/>
      <c r="C43" s="75"/>
      <c r="D43" s="66" t="s">
        <v>144</v>
      </c>
      <c r="E43" s="83"/>
    </row>
    <row r="44" spans="1:5" ht="45" x14ac:dyDescent="0.25">
      <c r="A44" s="92"/>
      <c r="B44" s="75"/>
      <c r="C44" s="75"/>
      <c r="D44" s="65" t="s">
        <v>145</v>
      </c>
      <c r="E44" s="83"/>
    </row>
    <row r="45" spans="1:5" ht="45" x14ac:dyDescent="0.25">
      <c r="A45" s="93"/>
      <c r="B45" s="88"/>
      <c r="C45" s="88"/>
      <c r="D45" s="65" t="s">
        <v>196</v>
      </c>
      <c r="E45" s="84"/>
    </row>
    <row r="46" spans="1:5" x14ac:dyDescent="0.25">
      <c r="A46" s="82" t="s">
        <v>212</v>
      </c>
      <c r="B46" s="85" t="s">
        <v>213</v>
      </c>
      <c r="C46" s="85"/>
      <c r="D46" s="65" t="s">
        <v>223</v>
      </c>
      <c r="E46" s="68" t="s">
        <v>222</v>
      </c>
    </row>
    <row r="47" spans="1:5" ht="30" x14ac:dyDescent="0.25">
      <c r="A47" s="83"/>
      <c r="B47" s="86"/>
      <c r="C47" s="86"/>
      <c r="D47" s="66" t="s">
        <v>224</v>
      </c>
      <c r="E47" s="69"/>
    </row>
    <row r="48" spans="1:5" ht="30" x14ac:dyDescent="0.25">
      <c r="A48" s="83"/>
      <c r="B48" s="86"/>
      <c r="C48" s="86"/>
      <c r="D48" s="65" t="s">
        <v>225</v>
      </c>
      <c r="E48" s="69"/>
    </row>
    <row r="49" spans="1:5" ht="30" x14ac:dyDescent="0.25">
      <c r="A49" s="83"/>
      <c r="B49" s="87"/>
      <c r="C49" s="87"/>
      <c r="D49" s="65" t="s">
        <v>226</v>
      </c>
      <c r="E49" s="70"/>
    </row>
    <row r="50" spans="1:5" ht="30" x14ac:dyDescent="0.25">
      <c r="A50" s="83"/>
      <c r="B50" s="68" t="s">
        <v>214</v>
      </c>
      <c r="C50" s="68"/>
      <c r="D50" s="65" t="s">
        <v>227</v>
      </c>
      <c r="E50" s="68" t="s">
        <v>222</v>
      </c>
    </row>
    <row r="51" spans="1:5" ht="45" x14ac:dyDescent="0.25">
      <c r="A51" s="83"/>
      <c r="B51" s="69"/>
      <c r="C51" s="69"/>
      <c r="D51" s="66" t="s">
        <v>228</v>
      </c>
      <c r="E51" s="69"/>
    </row>
    <row r="52" spans="1:5" ht="30" x14ac:dyDescent="0.25">
      <c r="A52" s="83"/>
      <c r="B52" s="69"/>
      <c r="C52" s="69"/>
      <c r="D52" s="65" t="s">
        <v>229</v>
      </c>
      <c r="E52" s="69"/>
    </row>
    <row r="53" spans="1:5" ht="45" x14ac:dyDescent="0.25">
      <c r="A53" s="83"/>
      <c r="B53" s="70"/>
      <c r="C53" s="70"/>
      <c r="D53" s="65" t="s">
        <v>230</v>
      </c>
      <c r="E53" s="70"/>
    </row>
    <row r="54" spans="1:5" x14ac:dyDescent="0.25">
      <c r="A54" s="83"/>
      <c r="B54" s="68" t="s">
        <v>201</v>
      </c>
      <c r="C54" s="68"/>
      <c r="D54" s="65" t="s">
        <v>231</v>
      </c>
      <c r="E54" s="68" t="s">
        <v>222</v>
      </c>
    </row>
    <row r="55" spans="1:5" ht="45" x14ac:dyDescent="0.25">
      <c r="A55" s="83"/>
      <c r="B55" s="69"/>
      <c r="C55" s="69"/>
      <c r="D55" s="66" t="s">
        <v>232</v>
      </c>
      <c r="E55" s="69"/>
    </row>
    <row r="56" spans="1:5" ht="30" x14ac:dyDescent="0.25">
      <c r="A56" s="83"/>
      <c r="B56" s="69"/>
      <c r="C56" s="69"/>
      <c r="D56" s="65" t="s">
        <v>233</v>
      </c>
      <c r="E56" s="69"/>
    </row>
    <row r="57" spans="1:5" ht="30" x14ac:dyDescent="0.25">
      <c r="A57" s="83"/>
      <c r="B57" s="70"/>
      <c r="C57" s="70"/>
      <c r="D57" s="65" t="s">
        <v>234</v>
      </c>
      <c r="E57" s="70"/>
    </row>
    <row r="58" spans="1:5" x14ac:dyDescent="0.25">
      <c r="A58" s="83"/>
      <c r="B58" s="68" t="s">
        <v>197</v>
      </c>
      <c r="C58" s="68"/>
      <c r="D58" s="65" t="s">
        <v>235</v>
      </c>
      <c r="E58" s="68" t="s">
        <v>222</v>
      </c>
    </row>
    <row r="59" spans="1:5" ht="30" x14ac:dyDescent="0.25">
      <c r="A59" s="83"/>
      <c r="B59" s="69"/>
      <c r="C59" s="69"/>
      <c r="D59" s="66" t="s">
        <v>236</v>
      </c>
      <c r="E59" s="69"/>
    </row>
    <row r="60" spans="1:5" ht="30" x14ac:dyDescent="0.25">
      <c r="A60" s="83"/>
      <c r="B60" s="69"/>
      <c r="C60" s="69"/>
      <c r="D60" s="65" t="s">
        <v>237</v>
      </c>
      <c r="E60" s="69"/>
    </row>
    <row r="61" spans="1:5" ht="30" x14ac:dyDescent="0.25">
      <c r="A61" s="83"/>
      <c r="B61" s="70"/>
      <c r="C61" s="70"/>
      <c r="D61" s="65" t="s">
        <v>238</v>
      </c>
      <c r="E61" s="70"/>
    </row>
    <row r="62" spans="1:5" ht="12.75" customHeight="1" x14ac:dyDescent="0.25">
      <c r="A62" s="83"/>
      <c r="B62" s="68" t="s">
        <v>216</v>
      </c>
      <c r="C62" s="68"/>
      <c r="D62" s="65" t="s">
        <v>239</v>
      </c>
      <c r="E62" s="68" t="s">
        <v>222</v>
      </c>
    </row>
    <row r="63" spans="1:5" ht="30" x14ac:dyDescent="0.25">
      <c r="A63" s="83"/>
      <c r="B63" s="69"/>
      <c r="C63" s="69"/>
      <c r="D63" s="66" t="s">
        <v>240</v>
      </c>
      <c r="E63" s="69"/>
    </row>
    <row r="64" spans="1:5" ht="30" x14ac:dyDescent="0.25">
      <c r="A64" s="83"/>
      <c r="B64" s="69"/>
      <c r="C64" s="69"/>
      <c r="D64" s="65" t="s">
        <v>241</v>
      </c>
      <c r="E64" s="69"/>
    </row>
    <row r="65" spans="1:5" ht="45" x14ac:dyDescent="0.25">
      <c r="A65" s="83"/>
      <c r="B65" s="70"/>
      <c r="C65" s="70"/>
      <c r="D65" s="65" t="s">
        <v>242</v>
      </c>
      <c r="E65" s="70"/>
    </row>
    <row r="66" spans="1:5" x14ac:dyDescent="0.25">
      <c r="A66" s="83"/>
      <c r="B66" s="68" t="s">
        <v>198</v>
      </c>
      <c r="C66" s="68"/>
      <c r="D66" s="65" t="s">
        <v>243</v>
      </c>
      <c r="E66" s="68" t="s">
        <v>222</v>
      </c>
    </row>
    <row r="67" spans="1:5" ht="45" x14ac:dyDescent="0.25">
      <c r="A67" s="83"/>
      <c r="B67" s="69"/>
      <c r="C67" s="69"/>
      <c r="D67" s="66" t="s">
        <v>244</v>
      </c>
      <c r="E67" s="69"/>
    </row>
    <row r="68" spans="1:5" ht="45" x14ac:dyDescent="0.25">
      <c r="A68" s="83"/>
      <c r="B68" s="69"/>
      <c r="C68" s="69"/>
      <c r="D68" s="65" t="s">
        <v>245</v>
      </c>
      <c r="E68" s="69"/>
    </row>
    <row r="69" spans="1:5" ht="60" x14ac:dyDescent="0.25">
      <c r="A69" s="83"/>
      <c r="B69" s="70"/>
      <c r="C69" s="70"/>
      <c r="D69" s="65" t="s">
        <v>246</v>
      </c>
      <c r="E69" s="70"/>
    </row>
    <row r="70" spans="1:5" x14ac:dyDescent="0.25">
      <c r="A70" s="83"/>
      <c r="B70" s="68" t="s">
        <v>199</v>
      </c>
      <c r="C70" s="68"/>
      <c r="D70" s="65" t="s">
        <v>247</v>
      </c>
      <c r="E70" s="68" t="s">
        <v>222</v>
      </c>
    </row>
    <row r="71" spans="1:5" ht="30" x14ac:dyDescent="0.25">
      <c r="A71" s="83"/>
      <c r="B71" s="69"/>
      <c r="C71" s="69"/>
      <c r="D71" s="66" t="s">
        <v>248</v>
      </c>
      <c r="E71" s="69"/>
    </row>
    <row r="72" spans="1:5" ht="45" x14ac:dyDescent="0.25">
      <c r="A72" s="83"/>
      <c r="B72" s="69"/>
      <c r="C72" s="69"/>
      <c r="D72" s="65" t="s">
        <v>249</v>
      </c>
      <c r="E72" s="69"/>
    </row>
    <row r="73" spans="1:5" ht="45" x14ac:dyDescent="0.25">
      <c r="A73" s="83"/>
      <c r="B73" s="70"/>
      <c r="C73" s="70"/>
      <c r="D73" s="65" t="s">
        <v>250</v>
      </c>
      <c r="E73" s="70"/>
    </row>
    <row r="74" spans="1:5" x14ac:dyDescent="0.25">
      <c r="A74" s="83"/>
      <c r="B74" s="68" t="s">
        <v>200</v>
      </c>
      <c r="C74" s="68"/>
      <c r="D74" s="65" t="s">
        <v>251</v>
      </c>
      <c r="E74" s="68" t="s">
        <v>222</v>
      </c>
    </row>
    <row r="75" spans="1:5" ht="30" x14ac:dyDescent="0.25">
      <c r="A75" s="83"/>
      <c r="B75" s="69"/>
      <c r="C75" s="69"/>
      <c r="D75" s="66" t="s">
        <v>252</v>
      </c>
      <c r="E75" s="69"/>
    </row>
    <row r="76" spans="1:5" ht="30" x14ac:dyDescent="0.25">
      <c r="A76" s="83"/>
      <c r="B76" s="69"/>
      <c r="C76" s="69"/>
      <c r="D76" s="65" t="s">
        <v>253</v>
      </c>
      <c r="E76" s="69"/>
    </row>
    <row r="77" spans="1:5" ht="60" x14ac:dyDescent="0.25">
      <c r="A77" s="84"/>
      <c r="B77" s="70"/>
      <c r="C77" s="70"/>
      <c r="D77" s="65" t="s">
        <v>254</v>
      </c>
      <c r="E77" s="70"/>
    </row>
  </sheetData>
  <sheetProtection algorithmName="SHA-512" hashValue="BfcFFJECGOXSHLFFsFC5X+srsfzLzffYxEjgq8lQcpNBawSzCTIlUhifpY3kGVfYRJhywK9AQ3Nhx9/gp9Zr0g==" saltValue="G5+P+Q83g0htTgRSM+I8/Q==" spinCount="100000" sheet="1" objects="1" scenarios="1"/>
  <mergeCells count="40">
    <mergeCell ref="A4:E4"/>
    <mergeCell ref="A2:D2"/>
    <mergeCell ref="A38:A45"/>
    <mergeCell ref="E6:E13"/>
    <mergeCell ref="E14:E21"/>
    <mergeCell ref="E22:E33"/>
    <mergeCell ref="E34:E37"/>
    <mergeCell ref="E38:E41"/>
    <mergeCell ref="E42:E45"/>
    <mergeCell ref="B6:B13"/>
    <mergeCell ref="B14:B21"/>
    <mergeCell ref="B22:B33"/>
    <mergeCell ref="A6:A37"/>
    <mergeCell ref="C22:C25"/>
    <mergeCell ref="C26:C29"/>
    <mergeCell ref="B42:C45"/>
    <mergeCell ref="B38:C41"/>
    <mergeCell ref="B46:C49"/>
    <mergeCell ref="B50:C53"/>
    <mergeCell ref="C6:C9"/>
    <mergeCell ref="C10:C13"/>
    <mergeCell ref="C14:C17"/>
    <mergeCell ref="C18:C21"/>
    <mergeCell ref="B34:C37"/>
    <mergeCell ref="C30:C33"/>
    <mergeCell ref="B74:C77"/>
    <mergeCell ref="A46:A77"/>
    <mergeCell ref="E46:E49"/>
    <mergeCell ref="E50:E53"/>
    <mergeCell ref="E54:E57"/>
    <mergeCell ref="E58:E61"/>
    <mergeCell ref="E62:E65"/>
    <mergeCell ref="E66:E69"/>
    <mergeCell ref="E70:E73"/>
    <mergeCell ref="E74:E77"/>
    <mergeCell ref="B54:C57"/>
    <mergeCell ref="B58:C61"/>
    <mergeCell ref="B62:C65"/>
    <mergeCell ref="B66:C69"/>
    <mergeCell ref="B70:C73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1"/>
  <sheetViews>
    <sheetView topLeftCell="A4" zoomScale="77" zoomScaleNormal="77" workbookViewId="0">
      <selection activeCell="G12" sqref="G12"/>
    </sheetView>
  </sheetViews>
  <sheetFormatPr baseColWidth="10" defaultColWidth="11.42578125" defaultRowHeight="15" x14ac:dyDescent="0.25"/>
  <cols>
    <col min="1" max="1" width="23.42578125" style="1" customWidth="1"/>
    <col min="2" max="2" width="28.7109375" style="1" customWidth="1"/>
    <col min="3" max="3" width="46" style="1" customWidth="1"/>
    <col min="4" max="4" width="28.5703125" style="1" customWidth="1"/>
    <col min="5" max="16384" width="11.42578125" style="1"/>
  </cols>
  <sheetData>
    <row r="2" spans="1:4" x14ac:dyDescent="0.25">
      <c r="A2" s="90" t="s">
        <v>178</v>
      </c>
      <c r="B2" s="90"/>
      <c r="C2" s="90"/>
      <c r="D2" s="27"/>
    </row>
    <row r="4" spans="1:4" ht="21" x14ac:dyDescent="0.35">
      <c r="A4" s="74" t="s">
        <v>56</v>
      </c>
      <c r="B4" s="74"/>
      <c r="C4" s="74"/>
      <c r="D4" s="74"/>
    </row>
    <row r="5" spans="1:4" x14ac:dyDescent="0.25">
      <c r="A5" s="28" t="s">
        <v>23</v>
      </c>
      <c r="B5" s="29" t="s">
        <v>1</v>
      </c>
      <c r="C5" s="28" t="s">
        <v>3</v>
      </c>
      <c r="D5" s="31" t="s">
        <v>4</v>
      </c>
    </row>
    <row r="6" spans="1:4" ht="35.1" customHeight="1" x14ac:dyDescent="0.25">
      <c r="A6" s="91" t="s">
        <v>25</v>
      </c>
      <c r="B6" s="71" t="s">
        <v>57</v>
      </c>
      <c r="C6" s="65" t="s">
        <v>104</v>
      </c>
      <c r="D6" s="76" t="s">
        <v>112</v>
      </c>
    </row>
    <row r="7" spans="1:4" ht="35.1" customHeight="1" x14ac:dyDescent="0.25">
      <c r="A7" s="92"/>
      <c r="B7" s="72"/>
      <c r="C7" s="66" t="s">
        <v>105</v>
      </c>
      <c r="D7" s="75"/>
    </row>
    <row r="8" spans="1:4" ht="35.1" customHeight="1" x14ac:dyDescent="0.25">
      <c r="A8" s="92"/>
      <c r="B8" s="72"/>
      <c r="C8" s="65" t="s">
        <v>106</v>
      </c>
      <c r="D8" s="75"/>
    </row>
    <row r="9" spans="1:4" ht="35.1" customHeight="1" x14ac:dyDescent="0.25">
      <c r="A9" s="92"/>
      <c r="B9" s="73"/>
      <c r="C9" s="65" t="s">
        <v>107</v>
      </c>
      <c r="D9" s="88"/>
    </row>
    <row r="10" spans="1:4" ht="30" x14ac:dyDescent="0.25">
      <c r="A10" s="92"/>
      <c r="B10" s="71" t="s">
        <v>29</v>
      </c>
      <c r="C10" s="65" t="s">
        <v>108</v>
      </c>
      <c r="D10" s="76" t="s">
        <v>113</v>
      </c>
    </row>
    <row r="11" spans="1:4" ht="30" x14ac:dyDescent="0.25">
      <c r="A11" s="92"/>
      <c r="B11" s="72"/>
      <c r="C11" s="66" t="s">
        <v>109</v>
      </c>
      <c r="D11" s="75"/>
    </row>
    <row r="12" spans="1:4" ht="33.75" customHeight="1" x14ac:dyDescent="0.25">
      <c r="A12" s="92"/>
      <c r="B12" s="72"/>
      <c r="C12" s="65" t="s">
        <v>110</v>
      </c>
      <c r="D12" s="75"/>
    </row>
    <row r="13" spans="1:4" ht="30" x14ac:dyDescent="0.25">
      <c r="A13" s="93"/>
      <c r="B13" s="73"/>
      <c r="C13" s="66" t="s">
        <v>111</v>
      </c>
      <c r="D13" s="88"/>
    </row>
    <row r="14" spans="1:4" ht="30" x14ac:dyDescent="0.25">
      <c r="A14" s="91" t="s">
        <v>26</v>
      </c>
      <c r="B14" s="71" t="s">
        <v>43</v>
      </c>
      <c r="C14" s="65" t="s">
        <v>114</v>
      </c>
      <c r="D14" s="76" t="s">
        <v>118</v>
      </c>
    </row>
    <row r="15" spans="1:4" ht="60" x14ac:dyDescent="0.25">
      <c r="A15" s="92"/>
      <c r="B15" s="72"/>
      <c r="C15" s="66" t="s">
        <v>115</v>
      </c>
      <c r="D15" s="75"/>
    </row>
    <row r="16" spans="1:4" ht="45" x14ac:dyDescent="0.25">
      <c r="A16" s="92"/>
      <c r="B16" s="72"/>
      <c r="C16" s="65" t="s">
        <v>116</v>
      </c>
      <c r="D16" s="75"/>
    </row>
    <row r="17" spans="1:4" ht="45" x14ac:dyDescent="0.25">
      <c r="A17" s="92"/>
      <c r="B17" s="73"/>
      <c r="C17" s="66" t="s">
        <v>117</v>
      </c>
      <c r="D17" s="88"/>
    </row>
    <row r="18" spans="1:4" ht="30" x14ac:dyDescent="0.25">
      <c r="A18" s="92"/>
      <c r="B18" s="71" t="s">
        <v>255</v>
      </c>
      <c r="C18" s="65" t="s">
        <v>257</v>
      </c>
      <c r="D18" s="76" t="s">
        <v>124</v>
      </c>
    </row>
    <row r="19" spans="1:4" ht="30" x14ac:dyDescent="0.25">
      <c r="A19" s="92"/>
      <c r="B19" s="72"/>
      <c r="C19" s="65" t="s">
        <v>258</v>
      </c>
      <c r="D19" s="75"/>
    </row>
    <row r="20" spans="1:4" ht="45" x14ac:dyDescent="0.25">
      <c r="A20" s="92"/>
      <c r="B20" s="72"/>
      <c r="C20" s="65" t="s">
        <v>259</v>
      </c>
      <c r="D20" s="75"/>
    </row>
    <row r="21" spans="1:4" ht="45" x14ac:dyDescent="0.25">
      <c r="A21" s="92"/>
      <c r="B21" s="73"/>
      <c r="C21" s="66" t="s">
        <v>260</v>
      </c>
      <c r="D21" s="88"/>
    </row>
    <row r="22" spans="1:4" ht="30" x14ac:dyDescent="0.25">
      <c r="A22" s="92"/>
      <c r="B22" s="71" t="s">
        <v>44</v>
      </c>
      <c r="C22" s="65" t="s">
        <v>119</v>
      </c>
      <c r="D22" s="76" t="s">
        <v>123</v>
      </c>
    </row>
    <row r="23" spans="1:4" ht="45" x14ac:dyDescent="0.25">
      <c r="A23" s="92"/>
      <c r="B23" s="72"/>
      <c r="C23" s="65" t="s">
        <v>120</v>
      </c>
      <c r="D23" s="75"/>
    </row>
    <row r="24" spans="1:4" ht="45" x14ac:dyDescent="0.25">
      <c r="A24" s="92"/>
      <c r="B24" s="72"/>
      <c r="C24" s="65" t="s">
        <v>121</v>
      </c>
      <c r="D24" s="75"/>
    </row>
    <row r="25" spans="1:4" ht="45" x14ac:dyDescent="0.25">
      <c r="A25" s="93"/>
      <c r="B25" s="73"/>
      <c r="C25" s="65" t="s">
        <v>122</v>
      </c>
      <c r="D25" s="88"/>
    </row>
    <row r="26" spans="1:4" ht="33.75" customHeight="1" x14ac:dyDescent="0.25">
      <c r="A26" s="91" t="s">
        <v>27</v>
      </c>
      <c r="B26" s="71" t="s">
        <v>46</v>
      </c>
      <c r="C26" s="65" t="s">
        <v>125</v>
      </c>
      <c r="D26" s="76" t="s">
        <v>137</v>
      </c>
    </row>
    <row r="27" spans="1:4" ht="45" x14ac:dyDescent="0.25">
      <c r="A27" s="92"/>
      <c r="B27" s="72"/>
      <c r="C27" s="65" t="s">
        <v>126</v>
      </c>
      <c r="D27" s="75"/>
    </row>
    <row r="28" spans="1:4" ht="30" x14ac:dyDescent="0.25">
      <c r="A28" s="92"/>
      <c r="B28" s="72"/>
      <c r="C28" s="65" t="s">
        <v>127</v>
      </c>
      <c r="D28" s="75"/>
    </row>
    <row r="29" spans="1:4" ht="30" x14ac:dyDescent="0.25">
      <c r="A29" s="92"/>
      <c r="B29" s="73"/>
      <c r="C29" s="65" t="s">
        <v>128</v>
      </c>
      <c r="D29" s="88"/>
    </row>
    <row r="30" spans="1:4" ht="45" x14ac:dyDescent="0.25">
      <c r="A30" s="92"/>
      <c r="B30" s="71" t="s">
        <v>177</v>
      </c>
      <c r="C30" s="66" t="s">
        <v>179</v>
      </c>
      <c r="D30" s="76" t="s">
        <v>176</v>
      </c>
    </row>
    <row r="31" spans="1:4" ht="45" x14ac:dyDescent="0.25">
      <c r="A31" s="92"/>
      <c r="B31" s="72"/>
      <c r="C31" s="65" t="s">
        <v>180</v>
      </c>
      <c r="D31" s="75"/>
    </row>
    <row r="32" spans="1:4" ht="45" x14ac:dyDescent="0.25">
      <c r="A32" s="92"/>
      <c r="B32" s="72"/>
      <c r="C32" s="66" t="s">
        <v>181</v>
      </c>
      <c r="D32" s="75"/>
    </row>
    <row r="33" spans="1:4" ht="74.25" customHeight="1" x14ac:dyDescent="0.25">
      <c r="A33" s="92"/>
      <c r="B33" s="73"/>
      <c r="C33" s="65" t="s">
        <v>182</v>
      </c>
      <c r="D33" s="88"/>
    </row>
    <row r="34" spans="1:4" ht="30.75" customHeight="1" x14ac:dyDescent="0.25">
      <c r="A34" s="92"/>
      <c r="B34" s="71" t="s">
        <v>48</v>
      </c>
      <c r="C34" s="66" t="s">
        <v>129</v>
      </c>
      <c r="D34" s="76" t="s">
        <v>137</v>
      </c>
    </row>
    <row r="35" spans="1:4" ht="45" x14ac:dyDescent="0.25">
      <c r="A35" s="92"/>
      <c r="B35" s="72"/>
      <c r="C35" s="65" t="s">
        <v>130</v>
      </c>
      <c r="D35" s="75"/>
    </row>
    <row r="36" spans="1:4" ht="45" x14ac:dyDescent="0.25">
      <c r="A36" s="92"/>
      <c r="B36" s="72"/>
      <c r="C36" s="66" t="s">
        <v>131</v>
      </c>
      <c r="D36" s="75"/>
    </row>
    <row r="37" spans="1:4" ht="45" x14ac:dyDescent="0.25">
      <c r="A37" s="92"/>
      <c r="B37" s="73"/>
      <c r="C37" s="65" t="s">
        <v>132</v>
      </c>
      <c r="D37" s="88"/>
    </row>
    <row r="38" spans="1:4" ht="30" x14ac:dyDescent="0.25">
      <c r="A38" s="92"/>
      <c r="B38" s="71" t="s">
        <v>49</v>
      </c>
      <c r="C38" s="66" t="s">
        <v>133</v>
      </c>
      <c r="D38" s="76" t="s">
        <v>138</v>
      </c>
    </row>
    <row r="39" spans="1:4" ht="30" x14ac:dyDescent="0.25">
      <c r="A39" s="92"/>
      <c r="B39" s="72"/>
      <c r="C39" s="65" t="s">
        <v>134</v>
      </c>
      <c r="D39" s="75"/>
    </row>
    <row r="40" spans="1:4" ht="30" x14ac:dyDescent="0.25">
      <c r="A40" s="92"/>
      <c r="B40" s="72"/>
      <c r="C40" s="65" t="s">
        <v>135</v>
      </c>
      <c r="D40" s="75"/>
    </row>
    <row r="41" spans="1:4" ht="30" x14ac:dyDescent="0.25">
      <c r="A41" s="93"/>
      <c r="B41" s="73"/>
      <c r="C41" s="65" t="s">
        <v>136</v>
      </c>
      <c r="D41" s="88"/>
    </row>
  </sheetData>
  <sheetProtection algorithmName="SHA-512" hashValue="pYOA8l2dsrDxu4ezB9bE3PNlOO9u+Agynqfj8Jt/XQ2Gv0AbEXGjqyViYibsTn/EhpAk/d+Pv9ddWdgjh0HGgg==" saltValue="ElxEmbjsfkJB1WlfSrQ4Rw==" spinCount="100000" sheet="1" objects="1" scenarios="1"/>
  <mergeCells count="23">
    <mergeCell ref="A2:C2"/>
    <mergeCell ref="A4:D4"/>
    <mergeCell ref="B6:B9"/>
    <mergeCell ref="D6:D9"/>
    <mergeCell ref="B10:B13"/>
    <mergeCell ref="D10:D13"/>
    <mergeCell ref="A6:A13"/>
    <mergeCell ref="B14:B17"/>
    <mergeCell ref="D14:D17"/>
    <mergeCell ref="B22:B25"/>
    <mergeCell ref="D22:D25"/>
    <mergeCell ref="A14:A25"/>
    <mergeCell ref="B18:B21"/>
    <mergeCell ref="D18:D21"/>
    <mergeCell ref="A26:A41"/>
    <mergeCell ref="B26:B29"/>
    <mergeCell ref="D26:D29"/>
    <mergeCell ref="B34:B37"/>
    <mergeCell ref="D34:D37"/>
    <mergeCell ref="B38:B41"/>
    <mergeCell ref="D38:D41"/>
    <mergeCell ref="B30:B33"/>
    <mergeCell ref="D30:D33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6"/>
  <sheetViews>
    <sheetView topLeftCell="A22" zoomScale="87" zoomScaleNormal="87" workbookViewId="0">
      <selection activeCell="C6" sqref="C6"/>
    </sheetView>
  </sheetViews>
  <sheetFormatPr baseColWidth="10" defaultColWidth="11.42578125" defaultRowHeight="15" x14ac:dyDescent="0.25"/>
  <cols>
    <col min="1" max="1" width="38.140625" style="1" customWidth="1"/>
    <col min="2" max="2" width="35.85546875" style="1" customWidth="1"/>
    <col min="3" max="3" width="14" style="1" customWidth="1"/>
    <col min="4" max="4" width="13.42578125" style="1" customWidth="1"/>
    <col min="5" max="16384" width="11.42578125" style="1"/>
  </cols>
  <sheetData>
    <row r="2" spans="1:10" x14ac:dyDescent="0.25">
      <c r="A2" s="90" t="s">
        <v>183</v>
      </c>
      <c r="B2" s="90"/>
      <c r="C2" s="90"/>
      <c r="D2" s="90"/>
      <c r="E2" s="90"/>
      <c r="F2" s="97"/>
      <c r="G2" s="97"/>
      <c r="H2" s="97"/>
    </row>
    <row r="4" spans="1:10" ht="21" x14ac:dyDescent="0.35">
      <c r="A4" s="74" t="s">
        <v>60</v>
      </c>
      <c r="B4" s="74"/>
      <c r="C4" s="74"/>
      <c r="E4" s="1" t="s">
        <v>82</v>
      </c>
      <c r="H4" s="1" t="s">
        <v>5</v>
      </c>
      <c r="I4" s="1" t="s">
        <v>80</v>
      </c>
      <c r="J4" s="1" t="s">
        <v>81</v>
      </c>
    </row>
    <row r="5" spans="1:10" x14ac:dyDescent="0.25">
      <c r="A5" s="29" t="s">
        <v>23</v>
      </c>
      <c r="B5" s="31" t="s">
        <v>24</v>
      </c>
      <c r="C5" s="31" t="s">
        <v>10</v>
      </c>
      <c r="D5" s="3"/>
      <c r="E5" s="1" t="s">
        <v>16</v>
      </c>
      <c r="H5" s="1">
        <f>AVERAGE(C6:C7)</f>
        <v>2.5</v>
      </c>
      <c r="I5" s="13">
        <f>H5/3</f>
        <v>0.83333333333333337</v>
      </c>
      <c r="J5" s="12">
        <v>1</v>
      </c>
    </row>
    <row r="6" spans="1:10" ht="30" x14ac:dyDescent="0.25">
      <c r="A6" s="71" t="s">
        <v>16</v>
      </c>
      <c r="B6" s="18" t="s">
        <v>64</v>
      </c>
      <c r="C6" s="4">
        <v>2</v>
      </c>
      <c r="E6" s="1" t="s">
        <v>17</v>
      </c>
      <c r="H6" s="1">
        <f>AVERAGE(C8:C9)</f>
        <v>2</v>
      </c>
      <c r="I6" s="13">
        <f t="shared" ref="I6:I9" si="0">H6/3</f>
        <v>0.66666666666666663</v>
      </c>
      <c r="J6" s="12">
        <v>1</v>
      </c>
    </row>
    <row r="7" spans="1:10" ht="30" x14ac:dyDescent="0.25">
      <c r="A7" s="73"/>
      <c r="B7" s="22" t="s">
        <v>65</v>
      </c>
      <c r="C7" s="6">
        <v>3</v>
      </c>
      <c r="E7" s="1" t="s">
        <v>18</v>
      </c>
      <c r="H7" s="1">
        <f>AVERAGE(C10:C12)</f>
        <v>1.3333333333333333</v>
      </c>
      <c r="I7" s="13">
        <f t="shared" si="0"/>
        <v>0.44444444444444442</v>
      </c>
      <c r="J7" s="12">
        <v>1</v>
      </c>
    </row>
    <row r="8" spans="1:10" x14ac:dyDescent="0.25">
      <c r="A8" s="72" t="s">
        <v>17</v>
      </c>
      <c r="B8" s="21" t="s">
        <v>66</v>
      </c>
      <c r="C8" s="5">
        <v>2</v>
      </c>
      <c r="E8" s="1" t="s">
        <v>19</v>
      </c>
      <c r="H8" s="1">
        <f>AVERAGE(C13)</f>
        <v>0</v>
      </c>
      <c r="I8" s="13">
        <f t="shared" si="0"/>
        <v>0</v>
      </c>
      <c r="J8" s="12">
        <v>1</v>
      </c>
    </row>
    <row r="9" spans="1:10" x14ac:dyDescent="0.25">
      <c r="A9" s="73"/>
      <c r="B9" s="30" t="s">
        <v>2</v>
      </c>
      <c r="C9" s="6">
        <v>2</v>
      </c>
      <c r="E9" s="1" t="s">
        <v>11</v>
      </c>
      <c r="H9" s="1">
        <f>AVERAGE(C16:C23)</f>
        <v>0.625</v>
      </c>
      <c r="I9" s="13">
        <f t="shared" si="0"/>
        <v>0.20833333333333334</v>
      </c>
      <c r="J9" s="12">
        <v>1</v>
      </c>
    </row>
    <row r="10" spans="1:10" x14ac:dyDescent="0.25">
      <c r="A10" s="71" t="s">
        <v>18</v>
      </c>
      <c r="B10" s="18" t="s">
        <v>67</v>
      </c>
      <c r="C10" s="4">
        <v>1</v>
      </c>
      <c r="E10" s="1" t="s">
        <v>212</v>
      </c>
      <c r="H10" s="1">
        <f>AVERAGE(C16:C23)</f>
        <v>0.625</v>
      </c>
      <c r="I10" s="13">
        <f>H10/3</f>
        <v>0.20833333333333334</v>
      </c>
      <c r="J10" s="12">
        <v>1</v>
      </c>
    </row>
    <row r="11" spans="1:10" x14ac:dyDescent="0.25">
      <c r="A11" s="72"/>
      <c r="B11" s="21" t="s">
        <v>68</v>
      </c>
      <c r="C11" s="5">
        <v>1</v>
      </c>
    </row>
    <row r="12" spans="1:10" x14ac:dyDescent="0.25">
      <c r="A12" s="72"/>
      <c r="B12" s="21" t="s">
        <v>69</v>
      </c>
      <c r="C12" s="5">
        <v>2</v>
      </c>
    </row>
    <row r="13" spans="1:10" ht="30" customHeight="1" x14ac:dyDescent="0.25">
      <c r="A13" s="95" t="s">
        <v>73</v>
      </c>
      <c r="B13" s="95"/>
      <c r="C13" s="10">
        <v>0</v>
      </c>
    </row>
    <row r="14" spans="1:10" x14ac:dyDescent="0.25">
      <c r="A14" s="71" t="s">
        <v>11</v>
      </c>
      <c r="B14" s="18" t="s">
        <v>53</v>
      </c>
      <c r="C14" s="4">
        <v>2</v>
      </c>
    </row>
    <row r="15" spans="1:10" x14ac:dyDescent="0.25">
      <c r="A15" s="73"/>
      <c r="B15" s="22" t="s">
        <v>54</v>
      </c>
      <c r="C15" s="6">
        <v>1</v>
      </c>
    </row>
    <row r="16" spans="1:10" x14ac:dyDescent="0.25">
      <c r="A16" s="72" t="s">
        <v>212</v>
      </c>
      <c r="B16" s="21" t="s">
        <v>215</v>
      </c>
      <c r="C16" s="5">
        <v>1</v>
      </c>
    </row>
    <row r="17" spans="1:14" x14ac:dyDescent="0.25">
      <c r="A17" s="72"/>
      <c r="B17" s="21" t="s">
        <v>202</v>
      </c>
      <c r="C17" s="5">
        <v>0</v>
      </c>
    </row>
    <row r="18" spans="1:14" x14ac:dyDescent="0.25">
      <c r="A18" s="72"/>
      <c r="B18" s="21" t="s">
        <v>201</v>
      </c>
      <c r="C18" s="5">
        <v>0</v>
      </c>
    </row>
    <row r="19" spans="1:14" x14ac:dyDescent="0.25">
      <c r="A19" s="72"/>
      <c r="B19" s="21" t="s">
        <v>197</v>
      </c>
      <c r="C19" s="5">
        <v>0</v>
      </c>
    </row>
    <row r="20" spans="1:14" x14ac:dyDescent="0.25">
      <c r="A20" s="72"/>
      <c r="B20" s="21" t="s">
        <v>216</v>
      </c>
      <c r="C20" s="5">
        <v>1</v>
      </c>
    </row>
    <row r="21" spans="1:14" x14ac:dyDescent="0.25">
      <c r="A21" s="72"/>
      <c r="B21" s="21" t="s">
        <v>198</v>
      </c>
      <c r="C21" s="5">
        <v>0</v>
      </c>
    </row>
    <row r="22" spans="1:14" x14ac:dyDescent="0.25">
      <c r="A22" s="72"/>
      <c r="B22" s="21" t="s">
        <v>199</v>
      </c>
      <c r="C22" s="5">
        <v>1</v>
      </c>
    </row>
    <row r="23" spans="1:14" x14ac:dyDescent="0.25">
      <c r="A23" s="73"/>
      <c r="B23" s="22" t="s">
        <v>200</v>
      </c>
      <c r="C23" s="6">
        <v>2</v>
      </c>
    </row>
    <row r="24" spans="1:14" x14ac:dyDescent="0.25">
      <c r="A24" s="8"/>
      <c r="B24" s="7"/>
      <c r="C24" s="5"/>
    </row>
    <row r="26" spans="1:14" ht="21" x14ac:dyDescent="0.35">
      <c r="A26" s="74" t="s">
        <v>61</v>
      </c>
      <c r="B26" s="74"/>
      <c r="C26" s="74"/>
      <c r="D26" s="74"/>
    </row>
    <row r="27" spans="1:14" x14ac:dyDescent="0.25">
      <c r="A27" s="28" t="s">
        <v>24</v>
      </c>
      <c r="B27" s="31" t="s">
        <v>5</v>
      </c>
      <c r="C27" s="31" t="s">
        <v>6</v>
      </c>
      <c r="D27" s="31" t="s">
        <v>58</v>
      </c>
    </row>
    <row r="28" spans="1:14" ht="30" customHeight="1" x14ac:dyDescent="0.25">
      <c r="A28" s="24" t="s">
        <v>70</v>
      </c>
      <c r="B28" s="32">
        <v>0.3</v>
      </c>
      <c r="C28" s="11">
        <f>(SUM(C6:C7))/2</f>
        <v>2.5</v>
      </c>
      <c r="D28" s="33">
        <f>C28*B28</f>
        <v>0.75</v>
      </c>
    </row>
    <row r="29" spans="1:14" ht="30" customHeight="1" x14ac:dyDescent="0.25">
      <c r="A29" s="26" t="s">
        <v>71</v>
      </c>
      <c r="B29" s="34">
        <v>0.05</v>
      </c>
      <c r="C29" s="11">
        <f>(SUM(C8:C9))/2</f>
        <v>2</v>
      </c>
      <c r="D29" s="33">
        <f t="shared" ref="D29:D32" si="1">C29*B29</f>
        <v>0.1</v>
      </c>
      <c r="N29" s="16"/>
    </row>
    <row r="30" spans="1:14" ht="30" customHeight="1" x14ac:dyDescent="0.25">
      <c r="A30" s="24" t="s">
        <v>72</v>
      </c>
      <c r="B30" s="32">
        <v>0.2</v>
      </c>
      <c r="C30" s="11">
        <f>(SUM(C10:C12))/3</f>
        <v>1.3333333333333333</v>
      </c>
      <c r="D30" s="33">
        <f t="shared" si="1"/>
        <v>0.26666666666666666</v>
      </c>
      <c r="E30" s="16"/>
    </row>
    <row r="31" spans="1:14" ht="30" customHeight="1" x14ac:dyDescent="0.25">
      <c r="A31" s="24" t="s">
        <v>74</v>
      </c>
      <c r="B31" s="32">
        <v>0.05</v>
      </c>
      <c r="C31" s="11">
        <f>C13</f>
        <v>0</v>
      </c>
      <c r="D31" s="33">
        <f t="shared" si="1"/>
        <v>0</v>
      </c>
    </row>
    <row r="32" spans="1:14" ht="30" customHeight="1" x14ac:dyDescent="0.25">
      <c r="A32" s="24" t="s">
        <v>59</v>
      </c>
      <c r="B32" s="35">
        <v>0.2</v>
      </c>
      <c r="C32" s="9">
        <f>(SUM(C14:C15)/2)</f>
        <v>1.5</v>
      </c>
      <c r="D32" s="33">
        <f t="shared" si="1"/>
        <v>0.30000000000000004</v>
      </c>
    </row>
    <row r="33" spans="1:4" ht="30" customHeight="1" x14ac:dyDescent="0.25">
      <c r="A33" s="36" t="s">
        <v>217</v>
      </c>
      <c r="B33" s="37">
        <v>0.2</v>
      </c>
      <c r="C33" s="9">
        <f>(SUM(C16:C23)/8)</f>
        <v>0.625</v>
      </c>
      <c r="D33" s="33">
        <f>C33*B33</f>
        <v>0.125</v>
      </c>
    </row>
    <row r="34" spans="1:4" ht="30" customHeight="1" x14ac:dyDescent="0.25">
      <c r="A34" s="96" t="s">
        <v>7</v>
      </c>
      <c r="B34" s="96"/>
      <c r="C34" s="96"/>
      <c r="D34" s="38">
        <f>SUM(D28:D33)</f>
        <v>1.5416666666666667</v>
      </c>
    </row>
    <row r="36" spans="1:4" x14ac:dyDescent="0.25">
      <c r="A36" s="16"/>
    </row>
  </sheetData>
  <sheetProtection algorithmName="SHA-512" hashValue="fLEAZAWFUaChiEqrBUcKRE3HtHKiP9B1tTTuQj3xv5xPpGxK4Ozs6q8L9TY8vEDETh7IZx8uoPav5sZpyDe8+Q==" saltValue="fUPHwKgtugI9kqGnSHFTgw==" spinCount="100000" sheet="1" objects="1" scenarios="1"/>
  <mergeCells count="11">
    <mergeCell ref="A16:A23"/>
    <mergeCell ref="A13:B13"/>
    <mergeCell ref="A34:C34"/>
    <mergeCell ref="F2:H2"/>
    <mergeCell ref="A2:E2"/>
    <mergeCell ref="A6:A7"/>
    <mergeCell ref="A8:A9"/>
    <mergeCell ref="A10:A12"/>
    <mergeCell ref="A4:C4"/>
    <mergeCell ref="A26:D26"/>
    <mergeCell ref="A14:A15"/>
  </mergeCells>
  <conditionalFormatting sqref="C6:C23">
    <cfRule type="dataBar" priority="3">
      <dataBar>
        <cfvo type="num" val="0"/>
        <cfvo type="num" val="3"/>
        <color theme="8" tint="-0.249977111117893"/>
      </dataBar>
      <extLst>
        <ext xmlns:x14="http://schemas.microsoft.com/office/spreadsheetml/2009/9/main" uri="{B025F937-C7B1-47D3-B67F-A62EFF666E3E}">
          <x14:id>{C87A7BC0-4E2B-4D35-8EF0-CD576ADA777D}</x14:id>
        </ext>
      </extLst>
    </cfRule>
  </conditionalFormatting>
  <conditionalFormatting sqref="C28:C33">
    <cfRule type="dataBar" priority="2">
      <dataBar>
        <cfvo type="num" val="0"/>
        <cfvo type="num" val="3"/>
        <color theme="2" tint="-0.749992370372631"/>
      </dataBar>
      <extLst>
        <ext xmlns:x14="http://schemas.microsoft.com/office/spreadsheetml/2009/9/main" uri="{B025F937-C7B1-47D3-B67F-A62EFF666E3E}">
          <x14:id>{CD6546EB-2497-4D2E-8990-78CE2A8C6A74}</x14:id>
        </ext>
      </extLst>
    </cfRule>
  </conditionalFormatting>
  <conditionalFormatting sqref="D34">
    <cfRule type="dataBar" priority="1">
      <dataBar>
        <cfvo type="num" val="0"/>
        <cfvo type="num" val="3"/>
        <color theme="2" tint="-0.749992370372631"/>
      </dataBar>
      <extLst>
        <ext xmlns:x14="http://schemas.microsoft.com/office/spreadsheetml/2009/9/main" uri="{B025F937-C7B1-47D3-B67F-A62EFF666E3E}">
          <x14:id>{1D9CEC14-3CE8-4C0E-9ADB-E0071BE8584A}</x14:id>
        </ext>
      </extLst>
    </cfRule>
  </conditionalFormatting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7A7BC0-4E2B-4D35-8EF0-CD576ADA777D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C6:C23</xm:sqref>
        </x14:conditionalFormatting>
        <x14:conditionalFormatting xmlns:xm="http://schemas.microsoft.com/office/excel/2006/main">
          <x14:cfRule type="dataBar" id="{CD6546EB-2497-4D2E-8990-78CE2A8C6A74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C28:C33</xm:sqref>
        </x14:conditionalFormatting>
        <x14:conditionalFormatting xmlns:xm="http://schemas.microsoft.com/office/excel/2006/main">
          <x14:cfRule type="dataBar" id="{1D9CEC14-3CE8-4C0E-9ADB-E0071BE8584A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D34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7"/>
  <sheetViews>
    <sheetView tabSelected="1" zoomScale="57" zoomScaleNormal="57" workbookViewId="0">
      <selection activeCell="S10" sqref="S10"/>
    </sheetView>
  </sheetViews>
  <sheetFormatPr baseColWidth="10" defaultColWidth="11.42578125" defaultRowHeight="15" x14ac:dyDescent="0.25"/>
  <cols>
    <col min="1" max="1" width="29" style="1" customWidth="1"/>
    <col min="2" max="2" width="28.42578125" style="1" customWidth="1"/>
    <col min="3" max="3" width="15.7109375" style="1" customWidth="1"/>
    <col min="4" max="4" width="14.7109375" style="1" customWidth="1"/>
    <col min="5" max="16384" width="11.42578125" style="1"/>
  </cols>
  <sheetData>
    <row r="2" spans="1:12" x14ac:dyDescent="0.25">
      <c r="A2" s="90" t="s">
        <v>183</v>
      </c>
      <c r="B2" s="90"/>
      <c r="C2" s="90"/>
      <c r="D2" s="90"/>
      <c r="E2" s="90"/>
      <c r="F2" s="90"/>
      <c r="G2" s="90"/>
    </row>
    <row r="4" spans="1:12" ht="21" x14ac:dyDescent="0.35">
      <c r="A4" s="74" t="s">
        <v>62</v>
      </c>
      <c r="B4" s="74"/>
      <c r="C4" s="74"/>
      <c r="D4" s="16"/>
      <c r="E4" s="1" t="s">
        <v>82</v>
      </c>
      <c r="H4" s="1" t="s">
        <v>5</v>
      </c>
      <c r="I4" s="1" t="s">
        <v>80</v>
      </c>
      <c r="J4" s="1" t="s">
        <v>81</v>
      </c>
    </row>
    <row r="5" spans="1:12" x14ac:dyDescent="0.25">
      <c r="A5" s="29" t="s">
        <v>23</v>
      </c>
      <c r="B5" s="31" t="s">
        <v>24</v>
      </c>
      <c r="C5" s="31" t="s">
        <v>10</v>
      </c>
      <c r="D5" s="43"/>
      <c r="E5" s="1" t="s">
        <v>25</v>
      </c>
      <c r="H5" s="1">
        <f>AVERAGE(C6:C7)</f>
        <v>0</v>
      </c>
      <c r="I5" s="13">
        <f>H5/3</f>
        <v>0</v>
      </c>
      <c r="J5" s="12">
        <v>1</v>
      </c>
    </row>
    <row r="6" spans="1:12" ht="30" customHeight="1" x14ac:dyDescent="0.25">
      <c r="A6" s="71" t="s">
        <v>25</v>
      </c>
      <c r="B6" s="41" t="s">
        <v>57</v>
      </c>
      <c r="C6" s="4">
        <v>0</v>
      </c>
      <c r="D6" s="16"/>
      <c r="E6" s="1" t="s">
        <v>26</v>
      </c>
      <c r="H6" s="1">
        <f>AVERAGE(C8:C10)</f>
        <v>2.3333333333333335</v>
      </c>
      <c r="I6" s="13">
        <f t="shared" ref="I6:I7" si="0">H6/3</f>
        <v>0.77777777777777779</v>
      </c>
      <c r="J6" s="12">
        <v>1</v>
      </c>
    </row>
    <row r="7" spans="1:12" ht="30" customHeight="1" x14ac:dyDescent="0.25">
      <c r="A7" s="72"/>
      <c r="B7" s="36" t="s">
        <v>29</v>
      </c>
      <c r="C7" s="5">
        <v>0</v>
      </c>
      <c r="D7" s="16"/>
      <c r="E7" s="1" t="s">
        <v>27</v>
      </c>
      <c r="H7" s="1">
        <f>AVERAGE(C11:C14)</f>
        <v>2</v>
      </c>
      <c r="I7" s="13">
        <f t="shared" si="0"/>
        <v>0.66666666666666663</v>
      </c>
      <c r="J7" s="12">
        <v>1</v>
      </c>
    </row>
    <row r="8" spans="1:12" ht="30" customHeight="1" x14ac:dyDescent="0.25">
      <c r="A8" s="71" t="s">
        <v>26</v>
      </c>
      <c r="B8" s="19" t="s">
        <v>43</v>
      </c>
      <c r="C8" s="4">
        <v>1</v>
      </c>
      <c r="D8" s="16"/>
      <c r="I8" s="13"/>
      <c r="J8" s="12"/>
    </row>
    <row r="9" spans="1:12" ht="30" customHeight="1" x14ac:dyDescent="0.25">
      <c r="A9" s="72"/>
      <c r="B9" s="42" t="s">
        <v>255</v>
      </c>
      <c r="C9" s="5">
        <v>3</v>
      </c>
      <c r="D9" s="16"/>
      <c r="I9" s="13"/>
      <c r="J9" s="12"/>
    </row>
    <row r="10" spans="1:12" ht="30" customHeight="1" x14ac:dyDescent="0.25">
      <c r="A10" s="72"/>
      <c r="B10" s="42" t="s">
        <v>44</v>
      </c>
      <c r="C10" s="5">
        <v>3</v>
      </c>
      <c r="D10" s="16"/>
      <c r="L10" s="16"/>
    </row>
    <row r="11" spans="1:12" ht="30" customHeight="1" x14ac:dyDescent="0.25">
      <c r="A11" s="71" t="s">
        <v>27</v>
      </c>
      <c r="B11" s="19" t="s">
        <v>46</v>
      </c>
      <c r="C11" s="4">
        <v>2</v>
      </c>
      <c r="D11" s="16"/>
    </row>
    <row r="12" spans="1:12" ht="36.75" customHeight="1" x14ac:dyDescent="0.25">
      <c r="A12" s="72"/>
      <c r="B12" s="42" t="s">
        <v>177</v>
      </c>
      <c r="C12" s="5">
        <v>3</v>
      </c>
      <c r="D12" s="16"/>
    </row>
    <row r="13" spans="1:12" ht="30" customHeight="1" x14ac:dyDescent="0.25">
      <c r="A13" s="72"/>
      <c r="B13" s="42" t="s">
        <v>63</v>
      </c>
      <c r="C13" s="5">
        <v>2</v>
      </c>
      <c r="D13" s="16"/>
    </row>
    <row r="14" spans="1:12" ht="30" customHeight="1" x14ac:dyDescent="0.25">
      <c r="A14" s="73"/>
      <c r="B14" s="26" t="s">
        <v>49</v>
      </c>
      <c r="C14" s="6">
        <v>1</v>
      </c>
      <c r="D14" s="16"/>
    </row>
    <row r="15" spans="1:12" ht="15" customHeight="1" x14ac:dyDescent="0.25">
      <c r="A15" s="44"/>
      <c r="B15" s="16"/>
      <c r="C15" s="16"/>
      <c r="D15" s="16"/>
    </row>
    <row r="16" spans="1:12" x14ac:dyDescent="0.25">
      <c r="A16" s="16"/>
      <c r="B16" s="16"/>
      <c r="C16" s="16"/>
      <c r="D16" s="16"/>
    </row>
    <row r="17" spans="1:13" ht="21" x14ac:dyDescent="0.35">
      <c r="A17" s="74" t="s">
        <v>61</v>
      </c>
      <c r="B17" s="74"/>
      <c r="C17" s="74"/>
      <c r="D17" s="74"/>
    </row>
    <row r="18" spans="1:13" x14ac:dyDescent="0.25">
      <c r="A18" s="28" t="s">
        <v>24</v>
      </c>
      <c r="B18" s="31" t="s">
        <v>5</v>
      </c>
      <c r="C18" s="31" t="s">
        <v>6</v>
      </c>
      <c r="D18" s="31" t="s">
        <v>58</v>
      </c>
    </row>
    <row r="19" spans="1:13" ht="30" customHeight="1" x14ac:dyDescent="0.25">
      <c r="A19" s="20" t="s">
        <v>75</v>
      </c>
      <c r="B19" s="35">
        <v>0.2</v>
      </c>
      <c r="C19" s="9">
        <f>(SUM(C6:C7))/2</f>
        <v>0</v>
      </c>
      <c r="D19" s="33">
        <f>C19*B19</f>
        <v>0</v>
      </c>
    </row>
    <row r="20" spans="1:13" ht="30" customHeight="1" x14ac:dyDescent="0.25">
      <c r="A20" s="45" t="s">
        <v>76</v>
      </c>
      <c r="B20" s="37">
        <v>0.4</v>
      </c>
      <c r="C20" s="9">
        <f>(SUM(C8:C10)/3)</f>
        <v>2.3333333333333335</v>
      </c>
      <c r="D20" s="33">
        <f>C20*B20</f>
        <v>0.93333333333333346</v>
      </c>
    </row>
    <row r="21" spans="1:13" ht="30" customHeight="1" x14ac:dyDescent="0.25">
      <c r="A21" s="23" t="s">
        <v>77</v>
      </c>
      <c r="B21" s="37">
        <v>0.4</v>
      </c>
      <c r="C21" s="9">
        <f>(SUM(C11:C14)/4)</f>
        <v>2</v>
      </c>
      <c r="D21" s="33">
        <f>C21*B21</f>
        <v>0.8</v>
      </c>
    </row>
    <row r="22" spans="1:13" ht="30" customHeight="1" x14ac:dyDescent="0.25">
      <c r="A22" s="96" t="s">
        <v>7</v>
      </c>
      <c r="B22" s="96"/>
      <c r="C22" s="96"/>
      <c r="D22" s="38">
        <f>SUM(D19:D21)</f>
        <v>1.7333333333333334</v>
      </c>
      <c r="M22" s="16"/>
    </row>
    <row r="24" spans="1:13" x14ac:dyDescent="0.25">
      <c r="A24" s="36"/>
      <c r="B24" s="14"/>
      <c r="C24" s="39"/>
      <c r="D24" s="40"/>
    </row>
    <row r="25" spans="1:13" x14ac:dyDescent="0.25">
      <c r="A25" s="14"/>
      <c r="B25" s="14"/>
      <c r="C25" s="39"/>
      <c r="D25" s="40"/>
    </row>
    <row r="26" spans="1:13" x14ac:dyDescent="0.25">
      <c r="A26" s="14"/>
      <c r="B26" s="14"/>
      <c r="C26" s="39"/>
      <c r="D26" s="40"/>
    </row>
    <row r="27" spans="1:13" x14ac:dyDescent="0.25">
      <c r="A27" s="14"/>
      <c r="B27" s="14"/>
      <c r="C27" s="39"/>
      <c r="D27" s="40"/>
    </row>
  </sheetData>
  <sheetProtection algorithmName="SHA-512" hashValue="+6I4YPXBnismoudAyyigOxnW5ScwuWnFuBQsL5iXWbbWdm8YHp8xetJA/BQNJY5KzkXgNnhHaLZqM97+cuv0dA==" saltValue="NjjSgoT1meGGuLzFiw5ooQ==" spinCount="100000" sheet="1" objects="1" scenarios="1" selectLockedCells="1"/>
  <mergeCells count="7">
    <mergeCell ref="A2:G2"/>
    <mergeCell ref="A22:C22"/>
    <mergeCell ref="A8:A10"/>
    <mergeCell ref="A11:A14"/>
    <mergeCell ref="A6:A7"/>
    <mergeCell ref="A4:C4"/>
    <mergeCell ref="A17:D17"/>
  </mergeCells>
  <conditionalFormatting sqref="C6:C14">
    <cfRule type="dataBar" priority="3">
      <dataBar>
        <cfvo type="num" val="0"/>
        <cfvo type="num" val="3"/>
        <color theme="8" tint="-0.249977111117893"/>
      </dataBar>
      <extLst>
        <ext xmlns:x14="http://schemas.microsoft.com/office/spreadsheetml/2009/9/main" uri="{B025F937-C7B1-47D3-B67F-A62EFF666E3E}">
          <x14:id>{80E9BB38-311E-427D-B548-6532A9CF79A5}</x14:id>
        </ext>
      </extLst>
    </cfRule>
  </conditionalFormatting>
  <conditionalFormatting sqref="C19:C21">
    <cfRule type="dataBar" priority="2">
      <dataBar>
        <cfvo type="num" val="0"/>
        <cfvo type="num" val="3"/>
        <color theme="2" tint="-0.749992370372631"/>
      </dataBar>
      <extLst>
        <ext xmlns:x14="http://schemas.microsoft.com/office/spreadsheetml/2009/9/main" uri="{B025F937-C7B1-47D3-B67F-A62EFF666E3E}">
          <x14:id>{6928D62A-82A2-4926-A02E-ECB6F2C93A6F}</x14:id>
        </ext>
      </extLst>
    </cfRule>
  </conditionalFormatting>
  <conditionalFormatting sqref="D22">
    <cfRule type="dataBar" priority="1">
      <dataBar>
        <cfvo type="num" val="0"/>
        <cfvo type="num" val="3"/>
        <color theme="2" tint="-0.749992370372631"/>
      </dataBar>
      <extLst>
        <ext xmlns:x14="http://schemas.microsoft.com/office/spreadsheetml/2009/9/main" uri="{B025F937-C7B1-47D3-B67F-A62EFF666E3E}">
          <x14:id>{A4646141-85F8-409C-AFAA-478A53FD62E4}</x14:id>
        </ext>
      </extLst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E9BB38-311E-427D-B548-6532A9CF79A5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C6:C14</xm:sqref>
        </x14:conditionalFormatting>
        <x14:conditionalFormatting xmlns:xm="http://schemas.microsoft.com/office/excel/2006/main">
          <x14:cfRule type="dataBar" id="{6928D62A-82A2-4926-A02E-ECB6F2C93A6F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C19:C21</xm:sqref>
        </x14:conditionalFormatting>
        <x14:conditionalFormatting xmlns:xm="http://schemas.microsoft.com/office/excel/2006/main">
          <x14:cfRule type="dataBar" id="{A4646141-85F8-409C-AFAA-478A53FD62E4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"/>
  <sheetViews>
    <sheetView topLeftCell="G22" zoomScaleNormal="100" workbookViewId="0">
      <selection activeCell="F39" sqref="F39"/>
    </sheetView>
  </sheetViews>
  <sheetFormatPr baseColWidth="10" defaultColWidth="11.42578125" defaultRowHeight="15" x14ac:dyDescent="0.25"/>
  <cols>
    <col min="1" max="1" width="13.28515625" style="1" customWidth="1"/>
    <col min="2" max="2" width="14.85546875" style="1" customWidth="1"/>
    <col min="3" max="3" width="14.5703125" style="1" customWidth="1"/>
    <col min="4" max="4" width="15.7109375" style="1" customWidth="1"/>
    <col min="5" max="5" width="13.28515625" style="1" customWidth="1"/>
    <col min="6" max="6" width="15.7109375" style="1" customWidth="1"/>
    <col min="7" max="7" width="13.7109375" style="1" customWidth="1"/>
    <col min="8" max="8" width="11.42578125" style="1"/>
    <col min="9" max="9" width="30.7109375" style="1" customWidth="1"/>
    <col min="10" max="10" width="29" style="1" customWidth="1"/>
    <col min="11" max="11" width="20.7109375" style="1" customWidth="1"/>
    <col min="12" max="12" width="25.5703125" style="1" customWidth="1"/>
    <col min="13" max="13" width="29.5703125" style="1" customWidth="1"/>
    <col min="14" max="14" width="11.42578125" style="1" customWidth="1"/>
    <col min="15" max="15" width="16.140625" style="1" customWidth="1"/>
    <col min="16" max="16" width="42.5703125" style="1" customWidth="1"/>
    <col min="17" max="17" width="38" style="1" customWidth="1"/>
    <col min="18" max="16384" width="11.42578125" style="1"/>
  </cols>
  <sheetData>
    <row r="1" spans="1:17" ht="9" customHeight="1" x14ac:dyDescent="0.25"/>
    <row r="2" spans="1:17" x14ac:dyDescent="0.25">
      <c r="A2" s="90" t="s">
        <v>183</v>
      </c>
      <c r="B2" s="90"/>
      <c r="C2" s="90"/>
      <c r="D2" s="90"/>
      <c r="E2" s="90"/>
      <c r="F2" s="90"/>
      <c r="G2" s="90"/>
      <c r="H2" s="90"/>
      <c r="I2" s="90"/>
      <c r="J2" s="90"/>
    </row>
    <row r="3" spans="1:17" ht="7.5" customHeight="1" x14ac:dyDescent="0.25"/>
    <row r="4" spans="1:17" ht="12" customHeight="1" x14ac:dyDescent="0.25">
      <c r="A4" s="101" t="s">
        <v>8</v>
      </c>
      <c r="B4" s="101"/>
      <c r="C4" s="101"/>
      <c r="D4" s="101"/>
    </row>
    <row r="5" spans="1:17" ht="17.25" customHeight="1" thickBot="1" x14ac:dyDescent="0.3">
      <c r="A5" s="102"/>
      <c r="B5" s="102"/>
      <c r="C5" s="102"/>
      <c r="D5" s="102"/>
    </row>
    <row r="6" spans="1:17" ht="46.5" customHeight="1" thickTop="1" thickBot="1" x14ac:dyDescent="0.3">
      <c r="A6" s="49" t="s">
        <v>9</v>
      </c>
      <c r="B6" s="50" t="s">
        <v>78</v>
      </c>
      <c r="C6" s="50" t="s">
        <v>79</v>
      </c>
      <c r="D6" s="50" t="s">
        <v>95</v>
      </c>
      <c r="I6" s="52" t="s">
        <v>83</v>
      </c>
      <c r="J6" s="52" t="s">
        <v>84</v>
      </c>
      <c r="K6" s="100" t="s">
        <v>85</v>
      </c>
      <c r="L6" s="100"/>
      <c r="M6" s="100"/>
      <c r="N6" s="100"/>
      <c r="O6" s="100"/>
      <c r="P6" s="100"/>
      <c r="Q6" s="100"/>
    </row>
    <row r="7" spans="1:17" ht="23.25" customHeight="1" thickTop="1" x14ac:dyDescent="0.25">
      <c r="A7" s="14" t="s">
        <v>261</v>
      </c>
      <c r="B7" s="51">
        <f>'Ponderación Variable (FIT)'!D34</f>
        <v>1.5416666666666667</v>
      </c>
      <c r="C7" s="51">
        <f>'Ponderación Variable (FET)'!D22</f>
        <v>1.7333333333333334</v>
      </c>
      <c r="D7" s="51">
        <f>(B7*60%)+(C7*40%)</f>
        <v>1.6183333333333334</v>
      </c>
      <c r="I7" s="53" t="s">
        <v>86</v>
      </c>
      <c r="J7" s="54" t="s">
        <v>87</v>
      </c>
      <c r="K7" s="88" t="s">
        <v>88</v>
      </c>
      <c r="L7" s="88"/>
      <c r="M7" s="88"/>
      <c r="N7" s="88"/>
      <c r="O7" s="88"/>
      <c r="P7" s="88"/>
      <c r="Q7" s="88"/>
    </row>
    <row r="8" spans="1:17" ht="23.25" customHeight="1" x14ac:dyDescent="0.25">
      <c r="B8" s="5"/>
      <c r="C8" s="5"/>
      <c r="D8" s="15"/>
      <c r="I8" s="55" t="s">
        <v>89</v>
      </c>
      <c r="J8" s="56" t="s">
        <v>90</v>
      </c>
      <c r="K8" s="99" t="s">
        <v>91</v>
      </c>
      <c r="L8" s="99"/>
      <c r="M8" s="99"/>
      <c r="N8" s="99"/>
      <c r="O8" s="99"/>
      <c r="P8" s="99"/>
      <c r="Q8" s="99"/>
    </row>
    <row r="9" spans="1:17" ht="23.25" customHeight="1" x14ac:dyDescent="0.25">
      <c r="I9" s="57" t="s">
        <v>92</v>
      </c>
      <c r="J9" s="58" t="s">
        <v>93</v>
      </c>
      <c r="K9" s="99" t="s">
        <v>94</v>
      </c>
      <c r="L9" s="99"/>
      <c r="M9" s="99"/>
      <c r="N9" s="99"/>
      <c r="O9" s="99"/>
      <c r="P9" s="99"/>
      <c r="Q9" s="99"/>
    </row>
    <row r="12" spans="1:17" ht="10.5" customHeight="1" x14ac:dyDescent="0.25"/>
    <row r="13" spans="1:17" ht="15" customHeight="1" x14ac:dyDescent="0.25">
      <c r="B13" s="104" t="s">
        <v>93</v>
      </c>
      <c r="C13" s="104"/>
      <c r="D13" s="104"/>
      <c r="E13" s="104"/>
      <c r="F13" s="104"/>
      <c r="G13" s="104"/>
    </row>
    <row r="14" spans="1:17" x14ac:dyDescent="0.25">
      <c r="B14" s="104"/>
      <c r="C14" s="104"/>
      <c r="D14" s="104"/>
      <c r="E14" s="104"/>
      <c r="F14" s="104"/>
      <c r="G14" s="104"/>
    </row>
    <row r="15" spans="1:17" x14ac:dyDescent="0.25">
      <c r="B15" s="104"/>
      <c r="C15" s="104"/>
      <c r="D15" s="104"/>
      <c r="E15" s="104"/>
      <c r="F15" s="104"/>
      <c r="G15" s="104"/>
    </row>
    <row r="16" spans="1:17" x14ac:dyDescent="0.25">
      <c r="B16" s="104"/>
      <c r="C16" s="104"/>
      <c r="D16" s="104"/>
      <c r="E16" s="104"/>
      <c r="F16" s="104"/>
      <c r="G16" s="104"/>
    </row>
    <row r="17" spans="2:17" x14ac:dyDescent="0.25">
      <c r="B17" s="104"/>
      <c r="C17" s="104"/>
      <c r="D17" s="104"/>
      <c r="E17" s="104"/>
      <c r="F17" s="104"/>
      <c r="G17" s="104"/>
    </row>
    <row r="18" spans="2:17" x14ac:dyDescent="0.25">
      <c r="B18" s="104"/>
      <c r="C18" s="104"/>
      <c r="D18" s="104"/>
      <c r="E18" s="104"/>
      <c r="F18" s="104"/>
      <c r="G18" s="104"/>
      <c r="I18" s="2" t="s">
        <v>5</v>
      </c>
      <c r="J18" s="3" t="s">
        <v>96</v>
      </c>
      <c r="L18" s="2" t="s">
        <v>5</v>
      </c>
      <c r="M18" s="46">
        <f>D7</f>
        <v>1.6183333333333334</v>
      </c>
      <c r="O18" s="2" t="s">
        <v>97</v>
      </c>
      <c r="P18" s="3" t="s">
        <v>98</v>
      </c>
      <c r="Q18" s="3" t="s">
        <v>99</v>
      </c>
    </row>
    <row r="19" spans="2:17" x14ac:dyDescent="0.25">
      <c r="B19" s="103" t="s">
        <v>90</v>
      </c>
      <c r="C19" s="103"/>
      <c r="D19" s="103"/>
      <c r="E19" s="103"/>
      <c r="F19" s="103"/>
      <c r="G19" s="103"/>
      <c r="I19" s="1" t="s">
        <v>86</v>
      </c>
      <c r="J19" s="5">
        <v>33.340000000000003</v>
      </c>
      <c r="L19" s="2" t="s">
        <v>100</v>
      </c>
      <c r="M19" s="47">
        <f>M18/3</f>
        <v>0.5394444444444445</v>
      </c>
      <c r="O19" s="1" t="s">
        <v>101</v>
      </c>
      <c r="P19" s="5">
        <v>0</v>
      </c>
      <c r="Q19" s="5">
        <v>0</v>
      </c>
    </row>
    <row r="20" spans="2:17" x14ac:dyDescent="0.25">
      <c r="B20" s="103"/>
      <c r="C20" s="103"/>
      <c r="D20" s="103"/>
      <c r="E20" s="103"/>
      <c r="F20" s="103"/>
      <c r="G20" s="103"/>
      <c r="I20" s="1" t="s">
        <v>89</v>
      </c>
      <c r="J20" s="5">
        <v>33.33</v>
      </c>
      <c r="L20" s="2" t="s">
        <v>102</v>
      </c>
      <c r="M20" s="1">
        <f>M19*PI()</f>
        <v>1.6947147036864942</v>
      </c>
      <c r="O20" s="1" t="s">
        <v>103</v>
      </c>
      <c r="P20" s="48">
        <f>COS(M20)*-1</f>
        <v>0.12360147674049293</v>
      </c>
      <c r="Q20" s="48">
        <f>SIN(M20)</f>
        <v>0.99233193788548868</v>
      </c>
    </row>
    <row r="21" spans="2:17" x14ac:dyDescent="0.25">
      <c r="B21" s="103"/>
      <c r="C21" s="103"/>
      <c r="D21" s="103"/>
      <c r="E21" s="103"/>
      <c r="F21" s="103"/>
      <c r="G21" s="103"/>
      <c r="I21" s="1" t="s">
        <v>92</v>
      </c>
      <c r="J21" s="5">
        <v>33.33</v>
      </c>
    </row>
    <row r="22" spans="2:17" x14ac:dyDescent="0.25">
      <c r="B22" s="103"/>
      <c r="C22" s="103"/>
      <c r="D22" s="103"/>
      <c r="E22" s="103"/>
      <c r="F22" s="103"/>
      <c r="G22" s="103"/>
      <c r="J22" s="5">
        <f>SUM(J19:J21)</f>
        <v>100</v>
      </c>
    </row>
    <row r="23" spans="2:17" x14ac:dyDescent="0.25">
      <c r="B23" s="103"/>
      <c r="C23" s="103"/>
      <c r="D23" s="103"/>
      <c r="E23" s="103"/>
      <c r="F23" s="103"/>
      <c r="G23" s="103"/>
      <c r="J23" s="5"/>
    </row>
    <row r="24" spans="2:17" x14ac:dyDescent="0.25">
      <c r="B24" s="103"/>
      <c r="C24" s="103"/>
      <c r="D24" s="103"/>
      <c r="E24" s="103"/>
      <c r="F24" s="103"/>
      <c r="G24" s="103"/>
      <c r="J24" s="3"/>
    </row>
    <row r="25" spans="2:17" ht="15" customHeight="1" x14ac:dyDescent="0.25">
      <c r="B25" s="98" t="s">
        <v>87</v>
      </c>
      <c r="C25" s="98"/>
      <c r="D25" s="98"/>
      <c r="E25" s="98"/>
      <c r="F25" s="98"/>
      <c r="G25" s="98"/>
    </row>
    <row r="26" spans="2:17" x14ac:dyDescent="0.25">
      <c r="B26" s="98"/>
      <c r="C26" s="98"/>
      <c r="D26" s="98"/>
      <c r="E26" s="98"/>
      <c r="F26" s="98"/>
      <c r="G26" s="98"/>
    </row>
    <row r="27" spans="2:17" x14ac:dyDescent="0.25">
      <c r="B27" s="98"/>
      <c r="C27" s="98"/>
      <c r="D27" s="98"/>
      <c r="E27" s="98"/>
      <c r="F27" s="98"/>
      <c r="G27" s="98"/>
    </row>
    <row r="28" spans="2:17" x14ac:dyDescent="0.25">
      <c r="B28" s="98"/>
      <c r="C28" s="98"/>
      <c r="D28" s="98"/>
      <c r="E28" s="98"/>
      <c r="F28" s="98"/>
      <c r="G28" s="98"/>
    </row>
    <row r="29" spans="2:17" x14ac:dyDescent="0.25">
      <c r="B29" s="98"/>
      <c r="C29" s="98"/>
      <c r="D29" s="98"/>
      <c r="E29" s="98"/>
      <c r="F29" s="98"/>
      <c r="G29" s="98"/>
    </row>
    <row r="30" spans="2:17" x14ac:dyDescent="0.25">
      <c r="B30" s="98"/>
      <c r="C30" s="98"/>
      <c r="D30" s="98"/>
      <c r="E30" s="98"/>
      <c r="F30" s="98"/>
      <c r="G30" s="98"/>
    </row>
  </sheetData>
  <sheetProtection algorithmName="SHA-512" hashValue="XBY7ox46P6dw30+1UsQu7FK4zQvmDiiSaeh8PM/FOx99UnRnKyIlaKtZvb2ccoSPykOGsTIkw4A1f/FYrUreKQ==" saltValue="0oE0d+h/auvRe91W4AjVow==" spinCount="100000" sheet="1" objects="1" scenarios="1"/>
  <mergeCells count="9">
    <mergeCell ref="B25:G30"/>
    <mergeCell ref="K7:Q7"/>
    <mergeCell ref="K8:Q8"/>
    <mergeCell ref="K9:Q9"/>
    <mergeCell ref="A2:J2"/>
    <mergeCell ref="K6:Q6"/>
    <mergeCell ref="A4:D5"/>
    <mergeCell ref="B19:G24"/>
    <mergeCell ref="B13:G18"/>
  </mergeCells>
  <conditionalFormatting sqref="D7:D8">
    <cfRule type="iconSet" priority="4">
      <iconSet iconSet="3TrafficLights2">
        <cfvo type="percent" val="0"/>
        <cfvo type="num" val="1.01"/>
        <cfvo type="num" val="2.0099999999999998"/>
      </iconSet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Factores Intrínsecos Territorio</vt:lpstr>
      <vt:lpstr>Factores Extrínsecos Territorio</vt:lpstr>
      <vt:lpstr>Escala Valorativa (FIT)</vt:lpstr>
      <vt:lpstr>Escala Valorativa (FET)</vt:lpstr>
      <vt:lpstr>Ponderación Variable (FIT)</vt:lpstr>
      <vt:lpstr>Ponderación Variable (FET)</vt:lpstr>
      <vt:lpstr>Gráfica Resultante</vt:lpstr>
      <vt:lpstr>'Ponderación Variable (FIT)'!_Hlk171610801</vt:lpstr>
      <vt:lpstr>'Ponderación Variable (FIT)'!OLE_LINK2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CHACA ESPINOZA, RONAL</cp:lastModifiedBy>
  <cp:lastPrinted>2024-08-08T16:17:38Z</cp:lastPrinted>
  <dcterms:created xsi:type="dcterms:W3CDTF">2019-06-04T19:39:48Z</dcterms:created>
  <dcterms:modified xsi:type="dcterms:W3CDTF">2025-09-09T01:34:19Z</dcterms:modified>
</cp:coreProperties>
</file>