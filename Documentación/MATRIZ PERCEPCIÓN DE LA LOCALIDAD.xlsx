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PALDO\Desktop\Temas Turismo\ESPOL\MATRICES\"/>
    </mc:Choice>
  </mc:AlternateContent>
  <xr:revisionPtr revIDLastSave="0" documentId="13_ncr:1_{FD0513DD-41BA-4F30-8C03-310F29F34F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E41" i="1" l="1"/>
  <c r="E40" i="1"/>
  <c r="E39" i="1"/>
  <c r="E38" i="1"/>
  <c r="E36" i="1"/>
  <c r="E35" i="1"/>
  <c r="E34" i="1"/>
  <c r="E32" i="1"/>
  <c r="E31" i="1"/>
  <c r="E30" i="1"/>
  <c r="E29" i="1"/>
  <c r="E28" i="1"/>
  <c r="E27" i="1"/>
  <c r="E25" i="1"/>
  <c r="E24" i="1"/>
  <c r="E23" i="1"/>
  <c r="F37" i="1" l="1"/>
  <c r="I37" i="1" s="1"/>
  <c r="F22" i="1"/>
  <c r="I22" i="1" s="1"/>
  <c r="F33" i="1"/>
  <c r="I33" i="1" s="1"/>
  <c r="F26" i="1"/>
  <c r="I26" i="1" s="1"/>
  <c r="H22" i="1" l="1"/>
  <c r="F46" i="1" s="1"/>
  <c r="N22" i="1"/>
  <c r="O22" i="1" s="1"/>
  <c r="N25" i="1"/>
  <c r="O25" i="1" s="1"/>
  <c r="H37" i="1"/>
  <c r="F49" i="1" s="1"/>
  <c r="N24" i="1"/>
  <c r="O24" i="1" s="1"/>
  <c r="H33" i="1"/>
  <c r="F48" i="1" s="1"/>
  <c r="N23" i="1"/>
  <c r="O23" i="1" s="1"/>
  <c r="H26" i="1"/>
  <c r="F47" i="1" s="1"/>
  <c r="H42" i="1" l="1"/>
</calcChain>
</file>

<file path=xl/sharedStrings.xml><?xml version="1.0" encoding="utf-8"?>
<sst xmlns="http://schemas.openxmlformats.org/spreadsheetml/2006/main" count="91" uniqueCount="71">
  <si>
    <t xml:space="preserve">DIMENSIÓN SOCIAL </t>
  </si>
  <si>
    <t xml:space="preserve">NIVEL DE ORGANIZACIÓN </t>
  </si>
  <si>
    <t>Conocimiento del flujo de visitantes en la comunidad</t>
  </si>
  <si>
    <t>Percepción o sentimiento causado por la presencia de visitantes</t>
  </si>
  <si>
    <t>Presencia de líderes sociales al interior de la comunidad</t>
  </si>
  <si>
    <t>Opinión del trabajo realizado por los líderes</t>
  </si>
  <si>
    <t>Presencia de conflictos entre actores y grupos sociales</t>
  </si>
  <si>
    <t>Grado de interés por participar en el desarrollo de actividades turísticas</t>
  </si>
  <si>
    <t>Posición frente a la actividad turística en el lugar</t>
  </si>
  <si>
    <t xml:space="preserve">Contribución del turismo en los procesos sociales de la localidad </t>
  </si>
  <si>
    <t>Conocimiento de la existencia de recursos turísticos en el territorio</t>
  </si>
  <si>
    <t>Conocimiento de la existencia de  atractivos turísticos en el territorio</t>
  </si>
  <si>
    <t>Inciencia de los ingresos económicos que perciben por su actividad actual</t>
  </si>
  <si>
    <t>Percepción de los beneficios que pueden esperarse por efectos del turismo</t>
  </si>
  <si>
    <t>Percepción Económica</t>
  </si>
  <si>
    <t>PERCEPCIÓN ECONÓMICA</t>
  </si>
  <si>
    <t>Grado de disposición de la localidad para invertir en actividades turísticas</t>
  </si>
  <si>
    <t>Nivel de organización colectiva entorno a objetivos comunes</t>
  </si>
  <si>
    <t>La escala de valoración cuantitativa a ser plicada en la matriz es la siguiente:</t>
  </si>
  <si>
    <t>Categoría</t>
  </si>
  <si>
    <t>Valor Asignado</t>
  </si>
  <si>
    <t>Neutral</t>
  </si>
  <si>
    <t>Positivo</t>
  </si>
  <si>
    <t>Negativo</t>
  </si>
  <si>
    <t>EVALUACIÓN DE LA PERCEPCIÓN LOCAL HACIA EL TURISMO</t>
  </si>
  <si>
    <t>ATRIBUTO</t>
  </si>
  <si>
    <t>CÓDIGO</t>
  </si>
  <si>
    <t>VALOR</t>
  </si>
  <si>
    <t>GRÁFICA
LINEAL</t>
  </si>
  <si>
    <t>GRÁFICA
DE RED</t>
  </si>
  <si>
    <t>ACCIONES DE MEJORA PROPUESTA</t>
  </si>
  <si>
    <t>CATEGORÍA</t>
  </si>
  <si>
    <t>P1</t>
  </si>
  <si>
    <t>P2</t>
  </si>
  <si>
    <t>P3</t>
  </si>
  <si>
    <t>P4</t>
  </si>
  <si>
    <t>P5</t>
  </si>
  <si>
    <t>P6</t>
  </si>
  <si>
    <t>E1</t>
  </si>
  <si>
    <t>E2</t>
  </si>
  <si>
    <t>E3</t>
  </si>
  <si>
    <t>S1</t>
  </si>
  <si>
    <t>S2</t>
  </si>
  <si>
    <t>S3</t>
  </si>
  <si>
    <t>O1</t>
  </si>
  <si>
    <t>O2</t>
  </si>
  <si>
    <t>O3</t>
  </si>
  <si>
    <t>O4</t>
  </si>
  <si>
    <t>Categorías</t>
  </si>
  <si>
    <t>Escala Valorativa por Criterio</t>
  </si>
  <si>
    <t>Escala Valorativa por Categoría</t>
  </si>
  <si>
    <t>Peso Porcentual</t>
  </si>
  <si>
    <t>Dimensión Social</t>
  </si>
  <si>
    <t>Percepción Local</t>
  </si>
  <si>
    <t>PERCEPCIÓN LOCAL</t>
  </si>
  <si>
    <t>Nivel de Organización</t>
  </si>
  <si>
    <t>Valor Categoría</t>
  </si>
  <si>
    <t>Total</t>
  </si>
  <si>
    <t>Ítems</t>
  </si>
  <si>
    <t>Valor</t>
  </si>
  <si>
    <t>Porcentaje</t>
  </si>
  <si>
    <t>Porcentaje total</t>
  </si>
  <si>
    <t>Demanda Social</t>
  </si>
  <si>
    <t>Porcentaje de cumplimiento de la Categoría</t>
  </si>
  <si>
    <r>
      <rPr>
        <b/>
        <sz val="11"/>
        <color theme="1"/>
        <rFont val="Calibri"/>
        <family val="2"/>
        <scheme val="minor"/>
      </rPr>
      <t xml:space="preserve">Elaborado por: </t>
    </r>
    <r>
      <rPr>
        <sz val="11"/>
        <color theme="1"/>
        <rFont val="Calibri"/>
        <family val="2"/>
        <scheme val="minor"/>
      </rPr>
      <t>Lic. Numa Sebastián Calle Lituma, Esp. Mg. MBA. PhD y Lic. Ronal Edison Chaca Espinoza, Mg. PhD.</t>
    </r>
  </si>
  <si>
    <t>Dimensión Social (DS)</t>
  </si>
  <si>
    <t>Percepción Local (PL)</t>
  </si>
  <si>
    <t>Percepción Económica (PE)</t>
  </si>
  <si>
    <t>Nivel de Organización (NO)</t>
  </si>
  <si>
    <t>Conocimiento del motivo de visita hacia el territorio</t>
  </si>
  <si>
    <t>Opinión sobre la necesidad de la llegada de visitantes al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</si>
</sst>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 tint="-0.499984740745262"/>
      <name val="Century Gothic"/>
      <family val="1"/>
    </font>
    <font>
      <b/>
      <sz val="13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5A6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2" borderId="0" xfId="0" applyFill="1" applyProtection="1"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0" fontId="4" fillId="0" borderId="0" xfId="2" applyFont="1" applyAlignment="1">
      <alignment vertical="center"/>
    </xf>
    <xf numFmtId="0" fontId="3" fillId="5" borderId="4" xfId="0" applyFont="1" applyFill="1" applyBorder="1"/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/>
    <xf numFmtId="0" fontId="3" fillId="7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9" fontId="0" fillId="2" borderId="0" xfId="1" applyFont="1" applyFill="1" applyProtection="1"/>
    <xf numFmtId="0" fontId="0" fillId="2" borderId="4" xfId="0" applyFill="1" applyBorder="1" applyAlignment="1">
      <alignment horizontal="center" vertical="center"/>
    </xf>
    <xf numFmtId="9" fontId="5" fillId="10" borderId="4" xfId="0" applyNumberFormat="1" applyFont="1" applyFill="1" applyBorder="1" applyAlignment="1">
      <alignment horizontal="center" vertical="center"/>
    </xf>
    <xf numFmtId="2" fontId="5" fillId="10" borderId="3" xfId="0" applyNumberFormat="1" applyFont="1" applyFill="1" applyBorder="1" applyAlignment="1">
      <alignment horizontal="center" vertical="center"/>
    </xf>
    <xf numFmtId="10" fontId="0" fillId="2" borderId="0" xfId="0" applyNumberFormat="1" applyFill="1"/>
    <xf numFmtId="2" fontId="0" fillId="2" borderId="0" xfId="0" applyNumberFormat="1" applyFill="1"/>
    <xf numFmtId="9" fontId="0" fillId="2" borderId="0" xfId="0" applyNumberFormat="1" applyFill="1"/>
    <xf numFmtId="0" fontId="3" fillId="11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9" fontId="3" fillId="8" borderId="6" xfId="1" applyFont="1" applyFill="1" applyBorder="1" applyAlignment="1" applyProtection="1">
      <alignment horizontal="center" vertical="center"/>
    </xf>
    <xf numFmtId="9" fontId="3" fillId="8" borderId="7" xfId="1" applyFont="1" applyFill="1" applyBorder="1" applyAlignment="1" applyProtection="1">
      <alignment horizontal="center" vertical="center"/>
    </xf>
    <xf numFmtId="9" fontId="3" fillId="8" borderId="5" xfId="1" applyFont="1" applyFill="1" applyBorder="1" applyAlignment="1" applyProtection="1">
      <alignment horizontal="center" vertical="center"/>
    </xf>
    <xf numFmtId="9" fontId="3" fillId="13" borderId="6" xfId="1" applyFont="1" applyFill="1" applyBorder="1" applyAlignment="1" applyProtection="1">
      <alignment horizontal="center" vertical="center"/>
    </xf>
    <xf numFmtId="9" fontId="3" fillId="13" borderId="7" xfId="1" applyFont="1" applyFill="1" applyBorder="1" applyAlignment="1" applyProtection="1">
      <alignment horizontal="center" vertical="center"/>
    </xf>
    <xf numFmtId="9" fontId="3" fillId="13" borderId="5" xfId="1" applyFont="1" applyFill="1" applyBorder="1" applyAlignment="1" applyProtection="1">
      <alignment horizontal="center" vertical="center"/>
    </xf>
    <xf numFmtId="9" fontId="3" fillId="11" borderId="6" xfId="1" applyFont="1" applyFill="1" applyBorder="1" applyAlignment="1" applyProtection="1">
      <alignment horizontal="center" vertical="center"/>
    </xf>
    <xf numFmtId="9" fontId="3" fillId="11" borderId="7" xfId="1" applyFont="1" applyFill="1" applyBorder="1" applyAlignment="1" applyProtection="1">
      <alignment horizontal="center" vertical="center"/>
    </xf>
    <xf numFmtId="9" fontId="3" fillId="11" borderId="5" xfId="1" applyFont="1" applyFill="1" applyBorder="1" applyAlignment="1" applyProtection="1">
      <alignment horizontal="center" vertical="center"/>
    </xf>
    <xf numFmtId="9" fontId="3" fillId="12" borderId="6" xfId="1" applyFont="1" applyFill="1" applyBorder="1" applyAlignment="1" applyProtection="1">
      <alignment horizontal="center" vertical="center"/>
    </xf>
    <xf numFmtId="9" fontId="3" fillId="12" borderId="7" xfId="1" applyFont="1" applyFill="1" applyBorder="1" applyAlignment="1" applyProtection="1">
      <alignment horizontal="center" vertical="center"/>
    </xf>
    <xf numFmtId="9" fontId="3" fillId="12" borderId="5" xfId="1" applyFont="1" applyFill="1" applyBorder="1" applyAlignment="1" applyProtection="1">
      <alignment horizontal="center" vertical="center"/>
    </xf>
    <xf numFmtId="2" fontId="3" fillId="11" borderId="6" xfId="0" applyNumberFormat="1" applyFont="1" applyFill="1" applyBorder="1" applyAlignment="1">
      <alignment horizontal="center" vertical="center"/>
    </xf>
    <xf numFmtId="2" fontId="3" fillId="11" borderId="7" xfId="0" applyNumberFormat="1" applyFont="1" applyFill="1" applyBorder="1" applyAlignment="1">
      <alignment horizontal="center" vertical="center"/>
    </xf>
    <xf numFmtId="2" fontId="3" fillId="11" borderId="5" xfId="0" applyNumberFormat="1" applyFont="1" applyFill="1" applyBorder="1" applyAlignment="1">
      <alignment horizontal="center" vertical="center"/>
    </xf>
    <xf numFmtId="9" fontId="3" fillId="11" borderId="6" xfId="0" applyNumberFormat="1" applyFont="1" applyFill="1" applyBorder="1" applyAlignment="1">
      <alignment horizontal="center" vertical="center"/>
    </xf>
    <xf numFmtId="9" fontId="3" fillId="11" borderId="7" xfId="0" applyNumberFormat="1" applyFont="1" applyFill="1" applyBorder="1" applyAlignment="1">
      <alignment horizontal="center" vertical="center"/>
    </xf>
    <xf numFmtId="9" fontId="3" fillId="11" borderId="5" xfId="0" applyNumberFormat="1" applyFont="1" applyFill="1" applyBorder="1" applyAlignment="1">
      <alignment horizontal="center" vertical="center"/>
    </xf>
    <xf numFmtId="2" fontId="3" fillId="12" borderId="6" xfId="0" applyNumberFormat="1" applyFont="1" applyFill="1" applyBorder="1" applyAlignment="1">
      <alignment horizontal="center" vertical="center"/>
    </xf>
    <xf numFmtId="2" fontId="3" fillId="12" borderId="7" xfId="0" applyNumberFormat="1" applyFont="1" applyFill="1" applyBorder="1" applyAlignment="1">
      <alignment horizontal="center" vertical="center"/>
    </xf>
    <xf numFmtId="2" fontId="3" fillId="12" borderId="5" xfId="0" applyNumberFormat="1" applyFont="1" applyFill="1" applyBorder="1" applyAlignment="1">
      <alignment horizontal="center" vertical="center"/>
    </xf>
    <xf numFmtId="9" fontId="3" fillId="12" borderId="6" xfId="0" applyNumberFormat="1" applyFont="1" applyFill="1" applyBorder="1" applyAlignment="1">
      <alignment horizontal="center" vertical="center"/>
    </xf>
    <xf numFmtId="9" fontId="3" fillId="12" borderId="7" xfId="0" applyNumberFormat="1" applyFont="1" applyFill="1" applyBorder="1" applyAlignment="1">
      <alignment horizontal="center" vertical="center"/>
    </xf>
    <xf numFmtId="9" fontId="3" fillId="12" borderId="5" xfId="0" applyNumberFormat="1" applyFont="1" applyFill="1" applyBorder="1" applyAlignment="1">
      <alignment horizontal="center" vertical="center"/>
    </xf>
    <xf numFmtId="2" fontId="3" fillId="12" borderId="6" xfId="1" applyNumberFormat="1" applyFont="1" applyFill="1" applyBorder="1" applyAlignment="1" applyProtection="1">
      <alignment horizontal="center" vertical="center"/>
    </xf>
    <xf numFmtId="2" fontId="3" fillId="12" borderId="7" xfId="1" applyNumberFormat="1" applyFont="1" applyFill="1" applyBorder="1" applyAlignment="1" applyProtection="1">
      <alignment horizontal="center" vertical="center"/>
    </xf>
    <xf numFmtId="2" fontId="3" fillId="12" borderId="5" xfId="1" applyNumberFormat="1" applyFont="1" applyFill="1" applyBorder="1" applyAlignment="1" applyProtection="1">
      <alignment horizontal="center" vertical="center"/>
    </xf>
    <xf numFmtId="2" fontId="3" fillId="11" borderId="6" xfId="1" applyNumberFormat="1" applyFont="1" applyFill="1" applyBorder="1" applyAlignment="1" applyProtection="1">
      <alignment horizontal="center" vertical="center"/>
    </xf>
    <xf numFmtId="2" fontId="3" fillId="11" borderId="7" xfId="1" applyNumberFormat="1" applyFont="1" applyFill="1" applyBorder="1" applyAlignment="1" applyProtection="1">
      <alignment horizontal="center" vertical="center"/>
    </xf>
    <xf numFmtId="2" fontId="3" fillId="11" borderId="5" xfId="1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2" fontId="3" fillId="8" borderId="6" xfId="0" applyNumberFormat="1" applyFont="1" applyFill="1" applyBorder="1" applyAlignment="1">
      <alignment horizontal="center" vertical="center"/>
    </xf>
    <xf numFmtId="2" fontId="3" fillId="8" borderId="7" xfId="0" applyNumberFormat="1" applyFont="1" applyFill="1" applyBorder="1" applyAlignment="1">
      <alignment horizontal="center" vertical="center"/>
    </xf>
    <xf numFmtId="2" fontId="3" fillId="8" borderId="5" xfId="0" applyNumberFormat="1" applyFont="1" applyFill="1" applyBorder="1" applyAlignment="1">
      <alignment horizontal="center" vertical="center"/>
    </xf>
    <xf numFmtId="9" fontId="3" fillId="8" borderId="6" xfId="0" applyNumberFormat="1" applyFont="1" applyFill="1" applyBorder="1" applyAlignment="1">
      <alignment horizontal="center" vertical="center"/>
    </xf>
    <xf numFmtId="9" fontId="3" fillId="8" borderId="7" xfId="0" applyNumberFormat="1" applyFont="1" applyFill="1" applyBorder="1" applyAlignment="1">
      <alignment horizontal="center" vertical="center"/>
    </xf>
    <xf numFmtId="9" fontId="3" fillId="8" borderId="5" xfId="0" applyNumberFormat="1" applyFont="1" applyFill="1" applyBorder="1" applyAlignment="1">
      <alignment horizontal="center" vertical="center"/>
    </xf>
    <xf numFmtId="2" fontId="3" fillId="13" borderId="6" xfId="0" applyNumberFormat="1" applyFont="1" applyFill="1" applyBorder="1" applyAlignment="1">
      <alignment horizontal="center" vertical="center"/>
    </xf>
    <xf numFmtId="2" fontId="3" fillId="13" borderId="7" xfId="0" applyNumberFormat="1" applyFont="1" applyFill="1" applyBorder="1" applyAlignment="1">
      <alignment horizontal="center" vertical="center"/>
    </xf>
    <xf numFmtId="2" fontId="3" fillId="13" borderId="5" xfId="0" applyNumberFormat="1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9" fontId="3" fillId="13" borderId="7" xfId="0" applyNumberFormat="1" applyFont="1" applyFill="1" applyBorder="1" applyAlignment="1">
      <alignment horizontal="center" vertical="center"/>
    </xf>
    <xf numFmtId="9" fontId="3" fillId="13" borderId="5" xfId="0" applyNumberFormat="1" applyFont="1" applyFill="1" applyBorder="1" applyAlignment="1">
      <alignment horizontal="center" vertical="center"/>
    </xf>
    <xf numFmtId="2" fontId="3" fillId="13" borderId="6" xfId="1" applyNumberFormat="1" applyFont="1" applyFill="1" applyBorder="1" applyAlignment="1" applyProtection="1">
      <alignment horizontal="center" vertical="center"/>
    </xf>
    <xf numFmtId="2" fontId="3" fillId="13" borderId="7" xfId="1" applyNumberFormat="1" applyFont="1" applyFill="1" applyBorder="1" applyAlignment="1" applyProtection="1">
      <alignment horizontal="center" vertical="center"/>
    </xf>
    <xf numFmtId="2" fontId="3" fillId="13" borderId="5" xfId="1" applyNumberFormat="1" applyFont="1" applyFill="1" applyBorder="1" applyAlignment="1" applyProtection="1">
      <alignment horizontal="center" vertical="center"/>
    </xf>
    <xf numFmtId="2" fontId="3" fillId="8" borderId="6" xfId="1" applyNumberFormat="1" applyFont="1" applyFill="1" applyBorder="1" applyAlignment="1" applyProtection="1">
      <alignment horizontal="center" vertical="center"/>
    </xf>
    <xf numFmtId="2" fontId="3" fillId="8" borderId="7" xfId="1" applyNumberFormat="1" applyFont="1" applyFill="1" applyBorder="1" applyAlignment="1" applyProtection="1">
      <alignment horizontal="center" vertical="center"/>
    </xf>
    <xf numFmtId="2" fontId="3" fillId="8" borderId="5" xfId="1" applyNumberFormat="1" applyFont="1" applyFill="1" applyBorder="1" applyAlignment="1" applyProtection="1">
      <alignment horizontal="center" vertical="center"/>
    </xf>
    <xf numFmtId="0" fontId="0" fillId="2" borderId="2" xfId="0" applyFill="1" applyBorder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Matriz!$C$13:$E$13</c:f>
              <c:strCache>
                <c:ptCount val="3"/>
                <c:pt idx="0">
                  <c:v>S1</c:v>
                </c:pt>
                <c:pt idx="1">
                  <c:v>1</c:v>
                </c:pt>
                <c:pt idx="2">
                  <c:v>S3</c:v>
                </c:pt>
              </c:strCache>
            </c:strRef>
          </c:cat>
          <c:val>
            <c:numRef>
              <c:f>Matriz!$C$14:$E$14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7-411F-B2E8-349D5D75B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89126128"/>
        <c:axId val="-1689117968"/>
      </c:radarChart>
      <c:catAx>
        <c:axId val="-16891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689117968"/>
        <c:crosses val="autoZero"/>
        <c:auto val="1"/>
        <c:lblAlgn val="ctr"/>
        <c:lblOffset val="100"/>
        <c:noMultiLvlLbl val="0"/>
      </c:catAx>
      <c:valAx>
        <c:axId val="-16891179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16891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Matriz!$F$13:$K$13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Matriz!$F$14:$K$14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1-47E2-88DB-53D3B360F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89129392"/>
        <c:axId val="-1689132656"/>
      </c:radarChart>
      <c:catAx>
        <c:axId val="-168912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689132656"/>
        <c:crosses val="autoZero"/>
        <c:auto val="1"/>
        <c:lblAlgn val="ctr"/>
        <c:lblOffset val="100"/>
        <c:noMultiLvlLbl val="0"/>
      </c:catAx>
      <c:valAx>
        <c:axId val="-16891326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168912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Matriz!$L$13:$N$13</c:f>
              <c:strCache>
                <c:ptCount val="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</c:strCache>
            </c:strRef>
          </c:cat>
          <c:val>
            <c:numRef>
              <c:f>Matriz!$L$14:$N$14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6-442C-B2A9-BA41A3DED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89121776"/>
        <c:axId val="-1689122864"/>
      </c:radarChart>
      <c:catAx>
        <c:axId val="-168912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689122864"/>
        <c:crosses val="autoZero"/>
        <c:auto val="1"/>
        <c:lblAlgn val="ctr"/>
        <c:lblOffset val="100"/>
        <c:noMultiLvlLbl val="0"/>
      </c:catAx>
      <c:valAx>
        <c:axId val="-1689122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168912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Matriz!$O$13:$R$13</c:f>
              <c:strCache>
                <c:ptCount val="4"/>
                <c:pt idx="0">
                  <c:v>O1</c:v>
                </c:pt>
                <c:pt idx="1">
                  <c:v>O2</c:v>
                </c:pt>
                <c:pt idx="2">
                  <c:v>O3</c:v>
                </c:pt>
                <c:pt idx="3">
                  <c:v>O4</c:v>
                </c:pt>
              </c:strCache>
            </c:strRef>
          </c:cat>
          <c:val>
            <c:numRef>
              <c:f>Matriz!$O$14:$R$14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E-42EB-9853-85645DC3D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89120144"/>
        <c:axId val="-1689120688"/>
      </c:radarChart>
      <c:catAx>
        <c:axId val="-168912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689120688"/>
        <c:crosses val="autoZero"/>
        <c:auto val="1"/>
        <c:lblAlgn val="ctr"/>
        <c:lblOffset val="100"/>
        <c:noMultiLvlLbl val="0"/>
      </c:catAx>
      <c:valAx>
        <c:axId val="-16891206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168912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529516200621395E-2"/>
          <c:y val="2.0300692605650403E-2"/>
          <c:w val="0.96094096759875725"/>
          <c:h val="0.918371360813246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Matriz!$O$21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E6-4D4F-A3E1-C7EC06157D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E6-4D4F-A3E1-C7EC06157D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E6-4D4F-A3E1-C7EC06157D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9E6-4D4F-A3E1-C7EC06157D94}"/>
              </c:ext>
            </c:extLst>
          </c:dPt>
          <c:cat>
            <c:strRef>
              <c:f>Matriz!$K$22:$K$25</c:f>
              <c:strCache>
                <c:ptCount val="4"/>
                <c:pt idx="0">
                  <c:v>Demanda Social</c:v>
                </c:pt>
                <c:pt idx="1">
                  <c:v>Percepción Local</c:v>
                </c:pt>
                <c:pt idx="2">
                  <c:v>Percepción Económica</c:v>
                </c:pt>
                <c:pt idx="3">
                  <c:v>Nivel de Organización</c:v>
                </c:pt>
              </c:strCache>
            </c:strRef>
          </c:cat>
          <c:val>
            <c:numRef>
              <c:f>Matriz!$O$22:$O$25</c:f>
              <c:numCache>
                <c:formatCode>0%</c:formatCode>
                <c:ptCount val="4"/>
                <c:pt idx="0">
                  <c:v>0.77777777777777779</c:v>
                </c:pt>
                <c:pt idx="1">
                  <c:v>0.3611111111111111</c:v>
                </c:pt>
                <c:pt idx="2">
                  <c:v>0.55555555555555558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E6-4D4F-A3E1-C7EC06157D94}"/>
            </c:ext>
          </c:extLst>
        </c:ser>
        <c:ser>
          <c:idx val="1"/>
          <c:order val="1"/>
          <c:tx>
            <c:strRef>
              <c:f>Matriz!$P$21</c:f>
              <c:strCache>
                <c:ptCount val="1"/>
                <c:pt idx="0">
                  <c:v>Porcentaje 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754105636928539E-3"/>
                  <c:y val="0"/>
                </c:manualLayout>
              </c:layout>
              <c:tx>
                <c:rich>
                  <a:bodyPr/>
                  <a:lstStyle/>
                  <a:p>
                    <a:fld id="{42011751-C6EB-4690-884F-DF2E2A4E8F6E}" type="CELLRANGE">
                      <a:rPr lang="en-US"/>
                      <a:pPr/>
                      <a:t>[CELLRANGE]</a:t>
                    </a:fld>
                    <a:endParaRPr lang="es-EC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9E6-4D4F-A3E1-C7EC06157D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FC7970-D63C-4DFB-9A99-611166BC5F70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F13-4171-A701-809F5E2878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0BCAE6D-7F3A-427D-BF84-7F888150EE6A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F13-4171-A701-809F5E2878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3E1F473-A0C1-4AD8-98F8-7975F2FC4EDA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F13-4171-A701-809F5E2878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Matriz!$K$22:$K$25</c:f>
              <c:strCache>
                <c:ptCount val="4"/>
                <c:pt idx="0">
                  <c:v>Demanda Social</c:v>
                </c:pt>
                <c:pt idx="1">
                  <c:v>Percepción Local</c:v>
                </c:pt>
                <c:pt idx="2">
                  <c:v>Percepción Económica</c:v>
                </c:pt>
                <c:pt idx="3">
                  <c:v>Nivel de Organización</c:v>
                </c:pt>
              </c:strCache>
            </c:strRef>
          </c:cat>
          <c:val>
            <c:numRef>
              <c:f>Matriz!$P$22:$P$25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Matriz!$O$22:$O$25</c15:f>
                <c15:dlblRangeCache>
                  <c:ptCount val="4"/>
                  <c:pt idx="0">
                    <c:v>78%</c:v>
                  </c:pt>
                  <c:pt idx="1">
                    <c:v>36%</c:v>
                  </c:pt>
                  <c:pt idx="2">
                    <c:v>56%</c:v>
                  </c:pt>
                  <c:pt idx="3">
                    <c:v>25%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79E6-4D4F-A3E1-C7EC06157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-1689119600"/>
        <c:axId val="-1689121232"/>
      </c:barChart>
      <c:catAx>
        <c:axId val="-16891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689121232"/>
        <c:crosses val="autoZero"/>
        <c:auto val="1"/>
        <c:lblAlgn val="ctr"/>
        <c:lblOffset val="100"/>
        <c:noMultiLvlLbl val="0"/>
      </c:catAx>
      <c:valAx>
        <c:axId val="-1689121232"/>
        <c:scaling>
          <c:orientation val="minMax"/>
          <c:max val="1.100000000000000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-168911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rgbClr val="7030A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7030A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Matriz!$E$46:$E$49</c:f>
              <c:strCache>
                <c:ptCount val="4"/>
                <c:pt idx="0">
                  <c:v>Dimensión Social</c:v>
                </c:pt>
                <c:pt idx="1">
                  <c:v>Percepción Local</c:v>
                </c:pt>
                <c:pt idx="2">
                  <c:v>Percepción Económica</c:v>
                </c:pt>
                <c:pt idx="3">
                  <c:v>Nivel de Organización</c:v>
                </c:pt>
              </c:strCache>
            </c:strRef>
          </c:cat>
          <c:val>
            <c:numRef>
              <c:f>Matriz!$N$22:$N$25</c:f>
              <c:numCache>
                <c:formatCode>0.00</c:formatCode>
                <c:ptCount val="4"/>
                <c:pt idx="0">
                  <c:v>2.3333333333333335</c:v>
                </c:pt>
                <c:pt idx="1">
                  <c:v>2.1666666666666665</c:v>
                </c:pt>
                <c:pt idx="2">
                  <c:v>1.6666666666666667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9-4D20-B138-6CC95CE86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89128304"/>
        <c:axId val="-1689117424"/>
      </c:radarChart>
      <c:catAx>
        <c:axId val="-168912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689117424"/>
        <c:crosses val="autoZero"/>
        <c:auto val="1"/>
        <c:lblAlgn val="ctr"/>
        <c:lblOffset val="100"/>
        <c:noMultiLvlLbl val="0"/>
      </c:catAx>
      <c:valAx>
        <c:axId val="-16891174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-168912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15</xdr:row>
      <xdr:rowOff>42862</xdr:rowOff>
    </xdr:from>
    <xdr:to>
      <xdr:col>4</xdr:col>
      <xdr:colOff>1486477</xdr:colOff>
      <xdr:row>15</xdr:row>
      <xdr:rowOff>2786062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4829F4-7A18-16A0-60E5-22F37E983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47624</xdr:colOff>
      <xdr:row>15</xdr:row>
      <xdr:rowOff>52387</xdr:rowOff>
    </xdr:from>
    <xdr:to>
      <xdr:col>10</xdr:col>
      <xdr:colOff>990599</xdr:colOff>
      <xdr:row>15</xdr:row>
      <xdr:rowOff>2795587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5E5019-2C04-2F18-D814-30E2A6450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47624</xdr:colOff>
      <xdr:row>15</xdr:row>
      <xdr:rowOff>33337</xdr:rowOff>
    </xdr:from>
    <xdr:to>
      <xdr:col>13</xdr:col>
      <xdr:colOff>1009649</xdr:colOff>
      <xdr:row>15</xdr:row>
      <xdr:rowOff>2776537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CB59251-BEBF-97AB-CDA7-3BEC3BAF5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38099</xdr:colOff>
      <xdr:row>15</xdr:row>
      <xdr:rowOff>14287</xdr:rowOff>
    </xdr:from>
    <xdr:to>
      <xdr:col>17</xdr:col>
      <xdr:colOff>1000124</xdr:colOff>
      <xdr:row>15</xdr:row>
      <xdr:rowOff>2757487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9BB27F5-89CA-E9DA-F055-1806763C1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263978</xdr:colOff>
      <xdr:row>19</xdr:row>
      <xdr:rowOff>161925</xdr:rowOff>
    </xdr:from>
    <xdr:to>
      <xdr:col>16</xdr:col>
      <xdr:colOff>95249</xdr:colOff>
      <xdr:row>42</xdr:row>
      <xdr:rowOff>63954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E3A4F28-422D-47C5-B86D-312B5B00A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371474</xdr:colOff>
      <xdr:row>42</xdr:row>
      <xdr:rowOff>80961</xdr:rowOff>
    </xdr:from>
    <xdr:to>
      <xdr:col>8</xdr:col>
      <xdr:colOff>1038225</xdr:colOff>
      <xdr:row>63</xdr:row>
      <xdr:rowOff>66675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6FB0FBE0-B3B5-B5AD-04BC-80F60C5A2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</xdr:col>
      <xdr:colOff>1047749</xdr:colOff>
      <xdr:row>18</xdr:row>
      <xdr:rowOff>0</xdr:rowOff>
    </xdr:from>
    <xdr:ext cx="5448301" cy="2835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1">
              <a:extLst>
                <a:ext uri="{FF2B5EF4-FFF2-40B4-BE49-F238E27FC236}">
                  <a16:creationId xmlns:a16="http://schemas.microsoft.com/office/drawing/2014/main" id="{0B4FDB83-E302-455A-9CB6-4DE8FA867634}"/>
                </a:ext>
              </a:extLst>
            </xdr:cNvPr>
            <xdr:cNvSpPr txBox="1"/>
          </xdr:nvSpPr>
          <xdr:spPr>
            <a:xfrm>
              <a:off x="2314574" y="9963150"/>
              <a:ext cx="5448301" cy="2835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C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E</a:t>
              </a:r>
              <a14:m>
                <m:oMath xmlns:m="http://schemas.openxmlformats.org/officeDocument/2006/math">
                  <m:r>
                    <a:rPr lang="es-EC" sz="1600" b="1" i="0">
                      <a:latin typeface="Cambria Math" panose="02040503050406030204" pitchFamily="18" charset="0"/>
                    </a:rPr>
                    <m:t>𝐏𝐋</m:t>
                  </m:r>
                  <m:r>
                    <a:rPr lang="en-US" sz="160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600"/>
                <a:t> </a:t>
              </a:r>
              <a:r>
                <a:rPr lang="en-US" sz="1600">
                  <a:latin typeface="Gigi" panose="04040504061007020D02" pitchFamily="82" charset="0"/>
                </a:rPr>
                <a:t>f </a:t>
              </a:r>
              <a:r>
                <a:rPr lang="en-US" sz="1600"/>
                <a:t>(</a:t>
              </a:r>
              <a:r>
                <a:rPr lang="en-US" sz="1200">
                  <a:latin typeface="Amasis MT Pro" panose="020B0604020202020204" pitchFamily="18" charset="0"/>
                </a:rPr>
                <a:t>DS</a:t>
              </a:r>
              <a:r>
                <a:rPr lang="en-US" sz="1600"/>
                <a:t>) * 20%</a:t>
              </a:r>
              <a:r>
                <a:rPr lang="en-US" sz="1600" baseline="0"/>
                <a:t>  +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600" baseline="0"/>
                <a:t>(</a:t>
              </a:r>
              <a:r>
                <a:rPr lang="en-US" sz="1200" baseline="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PL</a:t>
              </a:r>
              <a:r>
                <a:rPr lang="en-US" sz="1600" baseline="0"/>
                <a:t>) * 40% + 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</a:t>
              </a:r>
              <a:r>
                <a:rPr lang="en-US" sz="1200" baseline="0">
                  <a:solidFill>
                    <a:schemeClr val="tx1"/>
                  </a:solidFill>
                  <a:effectLst/>
                  <a:latin typeface="Amasis MT Pro" panose="020B0604020202020204" pitchFamily="18" charset="0"/>
                  <a:ea typeface="+mn-ea"/>
                  <a:cs typeface="+mn-cs"/>
                </a:rPr>
                <a:t>PE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* 20%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 f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(NO) * 20%</a:t>
              </a:r>
            </a:p>
          </xdr:txBody>
        </xdr:sp>
      </mc:Choice>
      <mc:Fallback xmlns="">
        <xdr:sp macro="" textlink="">
          <xdr:nvSpPr>
            <xdr:cNvPr id="24" name="TextBox 1">
              <a:extLst>
                <a:ext uri="{FF2B5EF4-FFF2-40B4-BE49-F238E27FC236}">
                  <a16:creationId xmlns:a16="http://schemas.microsoft.com/office/drawing/2014/main" id="{0B4FDB83-E302-455A-9CB6-4DE8FA867634}"/>
                </a:ext>
              </a:extLst>
            </xdr:cNvPr>
            <xdr:cNvSpPr txBox="1"/>
          </xdr:nvSpPr>
          <xdr:spPr>
            <a:xfrm>
              <a:off x="2314574" y="9963150"/>
              <a:ext cx="5448301" cy="2835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C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E</a:t>
              </a:r>
              <a:r>
                <a:rPr lang="es-EC" sz="1600" b="1" i="0">
                  <a:latin typeface="Cambria Math" panose="02040503050406030204" pitchFamily="18" charset="0"/>
                </a:rPr>
                <a:t>𝐏𝐋</a:t>
              </a:r>
              <a:r>
                <a:rPr lang="en-US" sz="1600" i="0">
                  <a:latin typeface="Cambria Math" panose="02040503050406030204" pitchFamily="18" charset="0"/>
                </a:rPr>
                <a:t>=</a:t>
              </a:r>
              <a:r>
                <a:rPr lang="en-US" sz="1600"/>
                <a:t> </a:t>
              </a:r>
              <a:r>
                <a:rPr lang="en-US" sz="1600">
                  <a:latin typeface="Gigi" panose="04040504061007020D02" pitchFamily="82" charset="0"/>
                </a:rPr>
                <a:t>f </a:t>
              </a:r>
              <a:r>
                <a:rPr lang="en-US" sz="1600"/>
                <a:t>(</a:t>
              </a:r>
              <a:r>
                <a:rPr lang="en-US" sz="1200">
                  <a:latin typeface="Amasis MT Pro" panose="020B0604020202020204" pitchFamily="18" charset="0"/>
                </a:rPr>
                <a:t>DS</a:t>
              </a:r>
              <a:r>
                <a:rPr lang="en-US" sz="1600"/>
                <a:t>) * 20%</a:t>
              </a:r>
              <a:r>
                <a:rPr lang="en-US" sz="1600" baseline="0"/>
                <a:t>  +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600" baseline="0"/>
                <a:t>(</a:t>
              </a:r>
              <a:r>
                <a:rPr lang="en-US" sz="1200" baseline="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PL</a:t>
              </a:r>
              <a:r>
                <a:rPr lang="en-US" sz="1600" baseline="0"/>
                <a:t>) * 40% + 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</a:t>
              </a:r>
              <a:r>
                <a:rPr lang="en-US" sz="1200" baseline="0">
                  <a:solidFill>
                    <a:schemeClr val="tx1"/>
                  </a:solidFill>
                  <a:effectLst/>
                  <a:latin typeface="Amasis MT Pro" panose="020B0604020202020204" pitchFamily="18" charset="0"/>
                  <a:ea typeface="+mn-ea"/>
                  <a:cs typeface="+mn-cs"/>
                </a:rPr>
                <a:t>PE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* 20%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 f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(NO) * 20%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64"/>
  <sheetViews>
    <sheetView tabSelected="1" topLeftCell="A11" zoomScale="66" zoomScaleNormal="66" workbookViewId="0">
      <selection activeCell="J14" sqref="J14"/>
    </sheetView>
  </sheetViews>
  <sheetFormatPr baseColWidth="10" defaultRowHeight="15" x14ac:dyDescent="0.25"/>
  <cols>
    <col min="1" max="1" width="3.28515625" style="1" customWidth="1"/>
    <col min="2" max="3" width="15.7109375" style="1" customWidth="1"/>
    <col min="4" max="4" width="17.85546875" style="1" customWidth="1"/>
    <col min="5" max="5" width="23" style="1" customWidth="1"/>
    <col min="6" max="18" width="15.7109375" style="1" customWidth="1"/>
    <col min="19" max="16384" width="11.42578125" style="1"/>
  </cols>
  <sheetData>
    <row r="2" spans="2:18" x14ac:dyDescent="0.25">
      <c r="B2" s="5" t="s">
        <v>64</v>
      </c>
    </row>
    <row r="4" spans="2:18" ht="28.5" x14ac:dyDescent="0.25">
      <c r="B4" s="6" t="s">
        <v>24</v>
      </c>
    </row>
    <row r="5" spans="2:18" ht="15.75" thickBot="1" x14ac:dyDescent="0.3"/>
    <row r="6" spans="2:18" ht="16.5" thickTop="1" thickBot="1" x14ac:dyDescent="0.3">
      <c r="B6" s="111" t="s">
        <v>18</v>
      </c>
      <c r="C6" s="111"/>
      <c r="D6" s="7" t="s">
        <v>19</v>
      </c>
      <c r="E6" s="8" t="s">
        <v>20</v>
      </c>
    </row>
    <row r="7" spans="2:18" ht="16.5" thickTop="1" thickBot="1" x14ac:dyDescent="0.3">
      <c r="B7" s="111"/>
      <c r="C7" s="111"/>
      <c r="D7" s="9" t="s">
        <v>22</v>
      </c>
      <c r="E7" s="10">
        <v>3</v>
      </c>
    </row>
    <row r="8" spans="2:18" ht="16.5" thickTop="1" thickBot="1" x14ac:dyDescent="0.3">
      <c r="B8" s="111"/>
      <c r="C8" s="111"/>
      <c r="D8" s="9" t="s">
        <v>21</v>
      </c>
      <c r="E8" s="11">
        <v>2</v>
      </c>
    </row>
    <row r="9" spans="2:18" ht="16.5" thickTop="1" thickBot="1" x14ac:dyDescent="0.3">
      <c r="B9" s="111"/>
      <c r="C9" s="111"/>
      <c r="D9" s="9" t="s">
        <v>23</v>
      </c>
      <c r="E9" s="12">
        <v>1</v>
      </c>
    </row>
    <row r="10" spans="2:18" ht="16.5" thickTop="1" thickBot="1" x14ac:dyDescent="0.3"/>
    <row r="11" spans="2:18" ht="16.5" thickTop="1" thickBot="1" x14ac:dyDescent="0.3">
      <c r="B11" s="13" t="s">
        <v>31</v>
      </c>
      <c r="C11" s="99" t="s">
        <v>0</v>
      </c>
      <c r="D11" s="100"/>
      <c r="E11" s="101"/>
      <c r="F11" s="102" t="s">
        <v>54</v>
      </c>
      <c r="G11" s="103"/>
      <c r="H11" s="103"/>
      <c r="I11" s="103"/>
      <c r="J11" s="103"/>
      <c r="K11" s="104"/>
      <c r="L11" s="105" t="s">
        <v>15</v>
      </c>
      <c r="M11" s="106"/>
      <c r="N11" s="107"/>
      <c r="O11" s="108" t="s">
        <v>1</v>
      </c>
      <c r="P11" s="109"/>
      <c r="Q11" s="109"/>
      <c r="R11" s="110"/>
    </row>
    <row r="12" spans="2:18" ht="91.5" thickTop="1" thickBot="1" x14ac:dyDescent="0.3">
      <c r="B12" s="13" t="s">
        <v>25</v>
      </c>
      <c r="C12" s="14" t="s">
        <v>8</v>
      </c>
      <c r="D12" s="14" t="s">
        <v>7</v>
      </c>
      <c r="E12" s="15" t="s">
        <v>9</v>
      </c>
      <c r="F12" s="14" t="s">
        <v>10</v>
      </c>
      <c r="G12" s="14" t="s">
        <v>11</v>
      </c>
      <c r="H12" s="14" t="s">
        <v>69</v>
      </c>
      <c r="I12" s="14" t="s">
        <v>2</v>
      </c>
      <c r="J12" s="14" t="s">
        <v>3</v>
      </c>
      <c r="K12" s="14" t="s">
        <v>70</v>
      </c>
      <c r="L12" s="14" t="s">
        <v>12</v>
      </c>
      <c r="M12" s="14" t="s">
        <v>13</v>
      </c>
      <c r="N12" s="14" t="s">
        <v>16</v>
      </c>
      <c r="O12" s="14" t="s">
        <v>17</v>
      </c>
      <c r="P12" s="14" t="s">
        <v>4</v>
      </c>
      <c r="Q12" s="14" t="s">
        <v>5</v>
      </c>
      <c r="R12" s="14" t="s">
        <v>6</v>
      </c>
    </row>
    <row r="13" spans="2:18" ht="16.5" thickTop="1" thickBot="1" x14ac:dyDescent="0.3">
      <c r="B13" s="13" t="s">
        <v>26</v>
      </c>
      <c r="C13" s="11" t="s">
        <v>41</v>
      </c>
      <c r="D13" s="11">
        <v>1</v>
      </c>
      <c r="E13" s="11" t="s">
        <v>43</v>
      </c>
      <c r="F13" s="27" t="s">
        <v>32</v>
      </c>
      <c r="G13" s="27" t="s">
        <v>33</v>
      </c>
      <c r="H13" s="27" t="s">
        <v>34</v>
      </c>
      <c r="I13" s="27" t="s">
        <v>35</v>
      </c>
      <c r="J13" s="27" t="s">
        <v>36</v>
      </c>
      <c r="K13" s="27" t="s">
        <v>37</v>
      </c>
      <c r="L13" s="26" t="s">
        <v>38</v>
      </c>
      <c r="M13" s="26" t="s">
        <v>39</v>
      </c>
      <c r="N13" s="26" t="s">
        <v>40</v>
      </c>
      <c r="O13" s="28" t="s">
        <v>44</v>
      </c>
      <c r="P13" s="28" t="s">
        <v>45</v>
      </c>
      <c r="Q13" s="28" t="s">
        <v>46</v>
      </c>
      <c r="R13" s="28" t="s">
        <v>47</v>
      </c>
    </row>
    <row r="14" spans="2:18" ht="16.5" thickTop="1" thickBot="1" x14ac:dyDescent="0.3">
      <c r="B14" s="2" t="s">
        <v>27</v>
      </c>
      <c r="C14" s="3">
        <v>3</v>
      </c>
      <c r="D14" s="3">
        <v>3</v>
      </c>
      <c r="E14" s="3">
        <v>1</v>
      </c>
      <c r="F14" s="3">
        <v>3</v>
      </c>
      <c r="G14" s="3">
        <v>2</v>
      </c>
      <c r="H14" s="3">
        <v>1</v>
      </c>
      <c r="I14" s="3">
        <v>1</v>
      </c>
      <c r="J14" s="3">
        <v>3</v>
      </c>
      <c r="K14" s="3">
        <v>3</v>
      </c>
      <c r="L14" s="3">
        <v>1</v>
      </c>
      <c r="M14" s="3">
        <v>3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</row>
    <row r="15" spans="2:18" ht="75" customHeight="1" thickTop="1" thickBot="1" x14ac:dyDescent="0.3">
      <c r="B15" s="16" t="s">
        <v>28</v>
      </c>
      <c r="C15" s="62"/>
      <c r="D15" s="85"/>
      <c r="E15" s="63"/>
      <c r="F15" s="62"/>
      <c r="G15" s="85"/>
      <c r="H15" s="85"/>
      <c r="I15" s="85"/>
      <c r="J15" s="85"/>
      <c r="K15" s="63"/>
      <c r="L15" s="62"/>
      <c r="M15" s="85"/>
      <c r="N15" s="63"/>
      <c r="O15" s="62"/>
      <c r="P15" s="85"/>
      <c r="Q15" s="85"/>
      <c r="R15" s="63"/>
    </row>
    <row r="16" spans="2:18" ht="222.75" customHeight="1" thickTop="1" thickBot="1" x14ac:dyDescent="0.3">
      <c r="B16" s="17" t="s">
        <v>29</v>
      </c>
      <c r="C16" s="62"/>
      <c r="D16" s="85"/>
      <c r="E16" s="63"/>
      <c r="F16" s="62"/>
      <c r="G16" s="85"/>
      <c r="H16" s="85"/>
      <c r="I16" s="85"/>
      <c r="J16" s="85"/>
      <c r="K16" s="63"/>
      <c r="L16" s="62"/>
      <c r="M16" s="85"/>
      <c r="N16" s="63"/>
      <c r="O16" s="62"/>
      <c r="P16" s="85"/>
      <c r="Q16" s="85"/>
      <c r="R16" s="63"/>
    </row>
    <row r="17" spans="2:18" ht="143.25" customHeight="1" thickTop="1" thickBot="1" x14ac:dyDescent="0.3">
      <c r="B17" s="4" t="s">
        <v>30</v>
      </c>
      <c r="C17" s="64"/>
      <c r="D17" s="65"/>
      <c r="E17" s="66"/>
      <c r="F17" s="64"/>
      <c r="G17" s="65"/>
      <c r="H17" s="65"/>
      <c r="I17" s="65"/>
      <c r="J17" s="65"/>
      <c r="K17" s="66"/>
      <c r="L17" s="64"/>
      <c r="M17" s="65"/>
      <c r="N17" s="66"/>
      <c r="O17" s="64"/>
      <c r="P17" s="65"/>
      <c r="Q17" s="65"/>
      <c r="R17" s="66"/>
    </row>
    <row r="18" spans="2:18" ht="15.75" thickTop="1" x14ac:dyDescent="0.25"/>
    <row r="20" spans="2:18" ht="15.75" thickBot="1" x14ac:dyDescent="0.3"/>
    <row r="21" spans="2:18" ht="46.5" thickTop="1" thickBot="1" x14ac:dyDescent="0.3">
      <c r="C21" s="86" t="s">
        <v>48</v>
      </c>
      <c r="D21" s="86"/>
      <c r="E21" s="18" t="s">
        <v>49</v>
      </c>
      <c r="F21" s="18" t="s">
        <v>50</v>
      </c>
      <c r="G21" s="18" t="s">
        <v>51</v>
      </c>
      <c r="H21" s="18" t="s">
        <v>56</v>
      </c>
      <c r="I21" s="18" t="s">
        <v>63</v>
      </c>
      <c r="J21" s="5"/>
      <c r="K21" s="5" t="s">
        <v>58</v>
      </c>
      <c r="L21" s="5"/>
      <c r="M21" s="5"/>
      <c r="N21" s="5" t="s">
        <v>59</v>
      </c>
      <c r="O21" s="5" t="s">
        <v>60</v>
      </c>
      <c r="P21" s="5" t="s">
        <v>61</v>
      </c>
      <c r="Q21" s="5"/>
    </row>
    <row r="22" spans="2:18" ht="16.5" thickTop="1" thickBot="1" x14ac:dyDescent="0.3">
      <c r="C22" s="87" t="s">
        <v>65</v>
      </c>
      <c r="D22" s="88"/>
      <c r="E22" s="89"/>
      <c r="F22" s="67">
        <f>AVERAGE(E23:E25)</f>
        <v>2.3333333333333335</v>
      </c>
      <c r="G22" s="70">
        <v>0.2</v>
      </c>
      <c r="H22" s="82">
        <f>(G22*F22)/3</f>
        <v>0.15555555555555559</v>
      </c>
      <c r="I22" s="32">
        <f>F22/3</f>
        <v>0.77777777777777779</v>
      </c>
      <c r="J22" s="5"/>
      <c r="K22" s="5" t="s">
        <v>62</v>
      </c>
      <c r="L22" s="5"/>
      <c r="M22" s="5"/>
      <c r="N22" s="24">
        <f>F22</f>
        <v>2.3333333333333335</v>
      </c>
      <c r="O22" s="19">
        <f>N22/3</f>
        <v>0.77777777777777779</v>
      </c>
      <c r="P22" s="25">
        <v>1</v>
      </c>
      <c r="Q22" s="5"/>
    </row>
    <row r="23" spans="2:18" ht="16.5" thickTop="1" thickBot="1" x14ac:dyDescent="0.3">
      <c r="C23" s="62" t="s">
        <v>41</v>
      </c>
      <c r="D23" s="63"/>
      <c r="E23" s="20">
        <f>C14</f>
        <v>3</v>
      </c>
      <c r="F23" s="68"/>
      <c r="G23" s="71"/>
      <c r="H23" s="83"/>
      <c r="I23" s="33"/>
      <c r="J23" s="5"/>
      <c r="K23" s="5" t="s">
        <v>53</v>
      </c>
      <c r="L23" s="5"/>
      <c r="M23" s="5"/>
      <c r="N23" s="24">
        <f>F26</f>
        <v>2.1666666666666665</v>
      </c>
      <c r="O23" s="19">
        <f>N23/6</f>
        <v>0.3611111111111111</v>
      </c>
      <c r="P23" s="25">
        <v>1</v>
      </c>
      <c r="Q23" s="5"/>
    </row>
    <row r="24" spans="2:18" ht="16.5" thickTop="1" thickBot="1" x14ac:dyDescent="0.3">
      <c r="C24" s="62" t="s">
        <v>42</v>
      </c>
      <c r="D24" s="63"/>
      <c r="E24" s="20">
        <f>D14</f>
        <v>3</v>
      </c>
      <c r="F24" s="68"/>
      <c r="G24" s="71"/>
      <c r="H24" s="83"/>
      <c r="I24" s="33"/>
      <c r="J24" s="5"/>
      <c r="K24" s="5" t="s">
        <v>14</v>
      </c>
      <c r="L24" s="5"/>
      <c r="M24" s="5"/>
      <c r="N24" s="24">
        <f>F33</f>
        <v>1.6666666666666667</v>
      </c>
      <c r="O24" s="19">
        <f t="shared" ref="O24" si="0">N24/3</f>
        <v>0.55555555555555558</v>
      </c>
      <c r="P24" s="25">
        <v>1</v>
      </c>
      <c r="Q24" s="5"/>
    </row>
    <row r="25" spans="2:18" ht="16.5" thickTop="1" thickBot="1" x14ac:dyDescent="0.3">
      <c r="C25" s="62" t="s">
        <v>43</v>
      </c>
      <c r="D25" s="63"/>
      <c r="E25" s="20">
        <f>E14</f>
        <v>1</v>
      </c>
      <c r="F25" s="69"/>
      <c r="G25" s="72"/>
      <c r="H25" s="84"/>
      <c r="I25" s="34"/>
      <c r="J25" s="5"/>
      <c r="K25" s="5" t="s">
        <v>55</v>
      </c>
      <c r="L25" s="5"/>
      <c r="M25" s="5"/>
      <c r="N25" s="24">
        <f>F37</f>
        <v>1</v>
      </c>
      <c r="O25" s="19">
        <f>N25/4</f>
        <v>0.25</v>
      </c>
      <c r="P25" s="25">
        <v>1</v>
      </c>
      <c r="Q25" s="5"/>
    </row>
    <row r="26" spans="2:18" ht="16.5" thickTop="1" thickBot="1" x14ac:dyDescent="0.3">
      <c r="C26" s="90" t="s">
        <v>66</v>
      </c>
      <c r="D26" s="91"/>
      <c r="E26" s="92"/>
      <c r="F26" s="73">
        <f>AVERAGE(E27:E32)</f>
        <v>2.1666666666666665</v>
      </c>
      <c r="G26" s="76">
        <v>0.4</v>
      </c>
      <c r="H26" s="79">
        <f>(G26*F26)/3</f>
        <v>0.28888888888888892</v>
      </c>
      <c r="I26" s="35">
        <f>F26/6</f>
        <v>0.3611111111111111</v>
      </c>
      <c r="J26" s="5"/>
      <c r="K26" s="5"/>
      <c r="L26" s="5"/>
      <c r="M26" s="5"/>
      <c r="N26" s="5"/>
      <c r="O26" s="5"/>
      <c r="P26" s="5"/>
      <c r="Q26" s="5"/>
    </row>
    <row r="27" spans="2:18" ht="16.5" thickTop="1" thickBot="1" x14ac:dyDescent="0.3">
      <c r="C27" s="62" t="s">
        <v>32</v>
      </c>
      <c r="D27" s="63"/>
      <c r="E27" s="20">
        <f>F14</f>
        <v>3</v>
      </c>
      <c r="F27" s="74"/>
      <c r="G27" s="77"/>
      <c r="H27" s="80"/>
      <c r="I27" s="36"/>
      <c r="J27" s="5"/>
      <c r="K27" s="5"/>
      <c r="L27" s="5"/>
      <c r="M27" s="5"/>
      <c r="N27" s="5"/>
      <c r="O27" s="5"/>
      <c r="P27" s="5"/>
      <c r="Q27" s="5"/>
    </row>
    <row r="28" spans="2:18" ht="16.5" thickTop="1" thickBot="1" x14ac:dyDescent="0.3">
      <c r="C28" s="62" t="s">
        <v>33</v>
      </c>
      <c r="D28" s="63"/>
      <c r="E28" s="20">
        <f>G14</f>
        <v>2</v>
      </c>
      <c r="F28" s="74"/>
      <c r="G28" s="77"/>
      <c r="H28" s="80"/>
      <c r="I28" s="36"/>
      <c r="J28" s="5"/>
      <c r="K28" s="5"/>
      <c r="L28" s="5"/>
      <c r="M28" s="5"/>
      <c r="N28" s="5"/>
      <c r="O28" s="5"/>
      <c r="P28" s="5"/>
      <c r="Q28" s="5"/>
    </row>
    <row r="29" spans="2:18" ht="16.5" thickTop="1" thickBot="1" x14ac:dyDescent="0.3">
      <c r="C29" s="62" t="s">
        <v>34</v>
      </c>
      <c r="D29" s="63"/>
      <c r="E29" s="20">
        <f>H14</f>
        <v>1</v>
      </c>
      <c r="F29" s="74"/>
      <c r="G29" s="77"/>
      <c r="H29" s="80"/>
      <c r="I29" s="36"/>
      <c r="J29" s="5"/>
      <c r="K29" s="5"/>
      <c r="L29" s="5"/>
      <c r="M29" s="5"/>
      <c r="N29" s="5"/>
      <c r="O29" s="5"/>
      <c r="P29" s="5"/>
      <c r="Q29" s="5"/>
    </row>
    <row r="30" spans="2:18" ht="16.5" thickTop="1" thickBot="1" x14ac:dyDescent="0.3">
      <c r="C30" s="62" t="s">
        <v>35</v>
      </c>
      <c r="D30" s="63"/>
      <c r="E30" s="20">
        <f>I14</f>
        <v>1</v>
      </c>
      <c r="F30" s="74"/>
      <c r="G30" s="77"/>
      <c r="H30" s="80"/>
      <c r="I30" s="36"/>
      <c r="J30" s="5"/>
      <c r="K30" s="5"/>
      <c r="L30" s="5"/>
      <c r="M30" s="5"/>
      <c r="N30" s="5"/>
      <c r="O30" s="5"/>
      <c r="P30" s="5"/>
      <c r="Q30" s="5"/>
    </row>
    <row r="31" spans="2:18" ht="16.5" thickTop="1" thickBot="1" x14ac:dyDescent="0.3">
      <c r="C31" s="62" t="s">
        <v>36</v>
      </c>
      <c r="D31" s="63"/>
      <c r="E31" s="20">
        <f>J14</f>
        <v>3</v>
      </c>
      <c r="F31" s="74"/>
      <c r="G31" s="77"/>
      <c r="H31" s="80"/>
      <c r="I31" s="36"/>
      <c r="J31" s="5"/>
      <c r="K31" s="5"/>
      <c r="L31" s="5"/>
      <c r="M31" s="5"/>
      <c r="N31" s="5"/>
      <c r="O31" s="5"/>
      <c r="P31" s="5"/>
      <c r="Q31" s="5"/>
    </row>
    <row r="32" spans="2:18" ht="16.5" thickTop="1" thickBot="1" x14ac:dyDescent="0.3">
      <c r="C32" s="62" t="s">
        <v>37</v>
      </c>
      <c r="D32" s="63"/>
      <c r="E32" s="20">
        <f>K14</f>
        <v>3</v>
      </c>
      <c r="F32" s="75"/>
      <c r="G32" s="78"/>
      <c r="H32" s="81"/>
      <c r="I32" s="37"/>
      <c r="J32" s="5"/>
      <c r="K32" s="5"/>
      <c r="L32" s="5"/>
      <c r="M32" s="5"/>
      <c r="N32" s="5"/>
      <c r="O32" s="5"/>
      <c r="P32" s="5"/>
      <c r="Q32" s="5"/>
    </row>
    <row r="33" spans="3:17" ht="16.5" thickTop="1" thickBot="1" x14ac:dyDescent="0.3">
      <c r="C33" s="93" t="s">
        <v>67</v>
      </c>
      <c r="D33" s="94"/>
      <c r="E33" s="95"/>
      <c r="F33" s="44">
        <f>AVERAGE(E34:E36)</f>
        <v>1.6666666666666667</v>
      </c>
      <c r="G33" s="47">
        <v>0.2</v>
      </c>
      <c r="H33" s="59">
        <f>(G33*F33)/3</f>
        <v>0.11111111111111112</v>
      </c>
      <c r="I33" s="38">
        <f>F33/3</f>
        <v>0.55555555555555558</v>
      </c>
      <c r="J33" s="5"/>
      <c r="K33" s="5"/>
      <c r="L33" s="5"/>
      <c r="M33" s="5"/>
      <c r="N33" s="5"/>
      <c r="O33" s="5"/>
      <c r="P33" s="5"/>
      <c r="Q33" s="5"/>
    </row>
    <row r="34" spans="3:17" ht="16.5" thickTop="1" thickBot="1" x14ac:dyDescent="0.3">
      <c r="C34" s="62" t="s">
        <v>38</v>
      </c>
      <c r="D34" s="63"/>
      <c r="E34" s="20">
        <f>L14</f>
        <v>1</v>
      </c>
      <c r="F34" s="45"/>
      <c r="G34" s="48"/>
      <c r="H34" s="60"/>
      <c r="I34" s="39"/>
      <c r="J34" s="5"/>
      <c r="K34" s="5"/>
      <c r="L34" s="5"/>
      <c r="M34" s="5"/>
      <c r="N34" s="5"/>
      <c r="O34" s="5"/>
      <c r="P34" s="5"/>
      <c r="Q34" s="5"/>
    </row>
    <row r="35" spans="3:17" ht="16.5" thickTop="1" thickBot="1" x14ac:dyDescent="0.3">
      <c r="C35" s="62" t="s">
        <v>39</v>
      </c>
      <c r="D35" s="63"/>
      <c r="E35" s="20">
        <f>M14</f>
        <v>3</v>
      </c>
      <c r="F35" s="45"/>
      <c r="G35" s="48"/>
      <c r="H35" s="60"/>
      <c r="I35" s="39"/>
      <c r="J35" s="5"/>
      <c r="K35" s="5"/>
      <c r="L35" s="5"/>
      <c r="M35" s="5"/>
      <c r="N35" s="5"/>
      <c r="O35" s="5"/>
      <c r="P35" s="5"/>
      <c r="Q35" s="5"/>
    </row>
    <row r="36" spans="3:17" ht="16.5" thickTop="1" thickBot="1" x14ac:dyDescent="0.3">
      <c r="C36" s="62" t="s">
        <v>40</v>
      </c>
      <c r="D36" s="63"/>
      <c r="E36" s="20">
        <f>N14</f>
        <v>1</v>
      </c>
      <c r="F36" s="46"/>
      <c r="G36" s="49"/>
      <c r="H36" s="61"/>
      <c r="I36" s="40"/>
      <c r="J36" s="5"/>
      <c r="K36" s="5"/>
      <c r="L36" s="5"/>
      <c r="M36" s="5"/>
      <c r="N36" s="5"/>
      <c r="O36" s="5"/>
      <c r="P36" s="5"/>
      <c r="Q36" s="5"/>
    </row>
    <row r="37" spans="3:17" ht="16.5" thickTop="1" thickBot="1" x14ac:dyDescent="0.3">
      <c r="C37" s="96" t="s">
        <v>68</v>
      </c>
      <c r="D37" s="97"/>
      <c r="E37" s="98"/>
      <c r="F37" s="50">
        <f>AVERAGE(E38:E41)</f>
        <v>1</v>
      </c>
      <c r="G37" s="53">
        <v>0.2</v>
      </c>
      <c r="H37" s="56">
        <f>(G37*F37)/3</f>
        <v>6.6666666666666666E-2</v>
      </c>
      <c r="I37" s="41">
        <f>F37/4</f>
        <v>0.25</v>
      </c>
      <c r="J37" s="5"/>
      <c r="K37" s="5"/>
      <c r="L37" s="5"/>
      <c r="M37" s="5"/>
      <c r="N37" s="5"/>
      <c r="O37" s="5"/>
      <c r="P37" s="5"/>
      <c r="Q37" s="5"/>
    </row>
    <row r="38" spans="3:17" ht="16.5" thickTop="1" thickBot="1" x14ac:dyDescent="0.3">
      <c r="C38" s="62" t="s">
        <v>44</v>
      </c>
      <c r="D38" s="63"/>
      <c r="E38" s="20">
        <f>O14</f>
        <v>1</v>
      </c>
      <c r="F38" s="51"/>
      <c r="G38" s="54"/>
      <c r="H38" s="57"/>
      <c r="I38" s="42"/>
      <c r="J38" s="5"/>
      <c r="K38" s="5"/>
      <c r="L38" s="5"/>
      <c r="M38" s="5"/>
      <c r="N38" s="5"/>
      <c r="O38" s="5"/>
      <c r="P38" s="5"/>
      <c r="Q38" s="5"/>
    </row>
    <row r="39" spans="3:17" ht="16.5" thickTop="1" thickBot="1" x14ac:dyDescent="0.3">
      <c r="C39" s="62" t="s">
        <v>45</v>
      </c>
      <c r="D39" s="63"/>
      <c r="E39" s="20">
        <f>P14</f>
        <v>1</v>
      </c>
      <c r="F39" s="51"/>
      <c r="G39" s="54"/>
      <c r="H39" s="57"/>
      <c r="I39" s="42"/>
      <c r="J39" s="5"/>
      <c r="K39" s="5"/>
      <c r="L39" s="5"/>
      <c r="M39" s="5"/>
      <c r="N39" s="5"/>
      <c r="O39" s="5"/>
      <c r="P39" s="5"/>
      <c r="Q39" s="5"/>
    </row>
    <row r="40" spans="3:17" ht="16.5" thickTop="1" thickBot="1" x14ac:dyDescent="0.3">
      <c r="C40" s="62" t="s">
        <v>46</v>
      </c>
      <c r="D40" s="63"/>
      <c r="E40" s="20">
        <f>Q14</f>
        <v>1</v>
      </c>
      <c r="F40" s="51"/>
      <c r="G40" s="54"/>
      <c r="H40" s="57"/>
      <c r="I40" s="42"/>
      <c r="J40" s="5"/>
      <c r="K40" s="5"/>
      <c r="L40" s="5"/>
      <c r="M40" s="5"/>
      <c r="N40" s="5"/>
      <c r="O40" s="5"/>
      <c r="P40" s="5"/>
      <c r="Q40" s="5"/>
    </row>
    <row r="41" spans="3:17" ht="16.5" thickTop="1" thickBot="1" x14ac:dyDescent="0.3">
      <c r="C41" s="62" t="s">
        <v>47</v>
      </c>
      <c r="D41" s="63"/>
      <c r="E41" s="20">
        <f>R14</f>
        <v>1</v>
      </c>
      <c r="F41" s="52"/>
      <c r="G41" s="55"/>
      <c r="H41" s="58"/>
      <c r="I41" s="43"/>
      <c r="J41" s="5"/>
      <c r="K41" s="5"/>
      <c r="L41" s="5"/>
      <c r="M41" s="5"/>
      <c r="N41" s="5"/>
      <c r="O41" s="5"/>
      <c r="P41" s="5"/>
      <c r="Q41" s="5"/>
    </row>
    <row r="42" spans="3:17" ht="18" customHeight="1" thickTop="1" thickBot="1" x14ac:dyDescent="0.35">
      <c r="C42" s="29" t="s">
        <v>57</v>
      </c>
      <c r="D42" s="30"/>
      <c r="E42" s="30"/>
      <c r="F42" s="31"/>
      <c r="G42" s="21">
        <f>SUM(G22:G41)</f>
        <v>1</v>
      </c>
      <c r="H42" s="22">
        <f>SUM(H22:H41)</f>
        <v>0.62222222222222234</v>
      </c>
      <c r="I42" s="23"/>
      <c r="J42" s="5"/>
      <c r="K42" s="5"/>
      <c r="L42" s="5"/>
      <c r="M42" s="5"/>
      <c r="N42" s="5"/>
      <c r="O42" s="5"/>
      <c r="P42" s="5"/>
      <c r="Q42" s="5"/>
    </row>
    <row r="43" spans="3:17" ht="15.75" thickTop="1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3:17" x14ac:dyDescent="0.2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3:17" x14ac:dyDescent="0.25">
      <c r="C45" s="5"/>
      <c r="D45" s="5"/>
      <c r="E45" s="5" t="s">
        <v>19</v>
      </c>
      <c r="F45" s="5" t="s">
        <v>59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3:17" x14ac:dyDescent="0.25">
      <c r="C46" s="5"/>
      <c r="D46" s="5"/>
      <c r="E46" s="5" t="s">
        <v>52</v>
      </c>
      <c r="F46" s="24">
        <f>H22</f>
        <v>0.15555555555555559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3:17" x14ac:dyDescent="0.25">
      <c r="C47" s="5"/>
      <c r="D47" s="5"/>
      <c r="E47" s="5" t="s">
        <v>53</v>
      </c>
      <c r="F47" s="24">
        <f>H26</f>
        <v>0.28888888888888892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3:17" x14ac:dyDescent="0.25">
      <c r="C48" s="5"/>
      <c r="D48" s="5"/>
      <c r="E48" s="5" t="s">
        <v>14</v>
      </c>
      <c r="F48" s="24">
        <f>H33</f>
        <v>0.11111111111111112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3:17" x14ac:dyDescent="0.25">
      <c r="C49" s="5"/>
      <c r="D49" s="5"/>
      <c r="E49" s="5" t="s">
        <v>55</v>
      </c>
      <c r="F49" s="24">
        <f>H37</f>
        <v>6.6666666666666666E-2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3:17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3:17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3:17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3:17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3:17" x14ac:dyDescent="0.2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3:17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3:17" x14ac:dyDescent="0.2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3:17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3:17" x14ac:dyDescent="0.2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3:17" x14ac:dyDescent="0.25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3:17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3:17" x14ac:dyDescent="0.25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3:17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3:17" x14ac:dyDescent="0.25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3:17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</sheetData>
  <sheetProtection deleteColumns="0" deleteRows="0"/>
  <mergeCells count="55">
    <mergeCell ref="C11:E11"/>
    <mergeCell ref="F11:K11"/>
    <mergeCell ref="L11:N11"/>
    <mergeCell ref="O11:R11"/>
    <mergeCell ref="B6:C9"/>
    <mergeCell ref="C33:E33"/>
    <mergeCell ref="C37:E37"/>
    <mergeCell ref="C29:D29"/>
    <mergeCell ref="C30:D30"/>
    <mergeCell ref="C31:D31"/>
    <mergeCell ref="C32:D32"/>
    <mergeCell ref="C34:D34"/>
    <mergeCell ref="C35:D35"/>
    <mergeCell ref="C28:D28"/>
    <mergeCell ref="C17:E17"/>
    <mergeCell ref="F16:K16"/>
    <mergeCell ref="F17:K17"/>
    <mergeCell ref="L16:N16"/>
    <mergeCell ref="L17:N17"/>
    <mergeCell ref="C21:D21"/>
    <mergeCell ref="C23:D23"/>
    <mergeCell ref="C24:D24"/>
    <mergeCell ref="C25:D25"/>
    <mergeCell ref="C27:D27"/>
    <mergeCell ref="C22:E22"/>
    <mergeCell ref="C26:E26"/>
    <mergeCell ref="C15:E15"/>
    <mergeCell ref="F15:K15"/>
    <mergeCell ref="L15:N15"/>
    <mergeCell ref="O15:R15"/>
    <mergeCell ref="C16:E16"/>
    <mergeCell ref="O16:R16"/>
    <mergeCell ref="O17:R17"/>
    <mergeCell ref="F22:F25"/>
    <mergeCell ref="G22:G25"/>
    <mergeCell ref="F26:F32"/>
    <mergeCell ref="G26:G32"/>
    <mergeCell ref="H26:H32"/>
    <mergeCell ref="H22:H25"/>
    <mergeCell ref="C42:F42"/>
    <mergeCell ref="I22:I25"/>
    <mergeCell ref="I26:I32"/>
    <mergeCell ref="I33:I36"/>
    <mergeCell ref="I37:I41"/>
    <mergeCell ref="F33:F36"/>
    <mergeCell ref="G33:G36"/>
    <mergeCell ref="F37:F41"/>
    <mergeCell ref="G37:G41"/>
    <mergeCell ref="H37:H41"/>
    <mergeCell ref="H33:H36"/>
    <mergeCell ref="C36:D36"/>
    <mergeCell ref="C38:D38"/>
    <mergeCell ref="C39:D39"/>
    <mergeCell ref="C41:D41"/>
    <mergeCell ref="C40:D40"/>
  </mergeCells>
  <conditionalFormatting sqref="C14:R14">
    <cfRule type="colorScale" priority="1">
      <colorScale>
        <cfvo type="num" val="1"/>
        <cfvo type="num" val="2"/>
        <cfvo type="num" val="3"/>
        <color rgb="FFC00000"/>
        <color rgb="FFFFC000"/>
        <color rgb="FF00B05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">
      <iconSet iconSet="3TrafficLights2">
        <cfvo type="percent" val="0"/>
        <cfvo type="num" val="2"/>
        <cfvo type="num" val="3"/>
      </iconSet>
    </cfRule>
    <cfRule type="colorScale" priority="11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E7:E9 C14:R14" xr:uid="{00000000-0002-0000-0000-000000000000}">
      <formula1>$E$7:$E$9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0A337861-482A-432D-B33F-09142CAF3F20}">
            <x14:iconSet iconSet="5Arrows" custom="1">
              <x14:cfvo type="percent">
                <xm:f>0</xm:f>
              </x14:cfvo>
              <x14:cfvo type="num">
                <xm:f>1.1000000000000001</xm:f>
              </x14:cfvo>
              <x14:cfvo type="num">
                <xm:f>2</xm:f>
              </x14:cfvo>
              <x14:cfvo type="num">
                <xm:f>2.1</xm:f>
              </x14:cfvo>
              <x14:cfvo type="num">
                <xm:f>3</xm:f>
              </x14:cfvo>
              <x14:cfIcon iconSet="3TrafficLights2" iconId="0"/>
              <x14:cfIcon iconSet="3Triangles" iconId="0"/>
              <x14:cfIcon iconSet="3TrafficLights2" iconId="1"/>
              <x14:cfIcon iconSet="3Triangles" iconId="2"/>
              <x14:cfIcon iconSet="3TrafficLights2" iconId="2"/>
            </x14:iconSet>
          </x14:cfRule>
          <xm:sqref>F22</xm:sqref>
        </x14:conditionalFormatting>
        <x14:conditionalFormatting xmlns:xm="http://schemas.microsoft.com/office/excel/2006/main">
          <x14:cfRule type="iconSet" priority="9" id="{CF2776C2-C7E0-4C14-BA83-AF6B39AFDB57}">
            <x14:iconSet iconSet="5Arrows" custom="1">
              <x14:cfvo type="percent">
                <xm:f>0</xm:f>
              </x14:cfvo>
              <x14:cfvo type="num">
                <xm:f>1.1000000000000001</xm:f>
              </x14:cfvo>
              <x14:cfvo type="num">
                <xm:f>2</xm:f>
              </x14:cfvo>
              <x14:cfvo type="num">
                <xm:f>2.1</xm:f>
              </x14:cfvo>
              <x14:cfvo type="num">
                <xm:f>3</xm:f>
              </x14:cfvo>
              <x14:cfIcon iconSet="3TrafficLights2" iconId="0"/>
              <x14:cfIcon iconSet="3Triangles" iconId="0"/>
              <x14:cfIcon iconSet="3TrafficLights2" iconId="1"/>
              <x14:cfIcon iconSet="3Triangles" iconId="2"/>
              <x14:cfIcon iconSet="3TrafficLights2" iconId="2"/>
            </x14:iconSet>
          </x14:cfRule>
          <xm:sqref>F26</xm:sqref>
        </x14:conditionalFormatting>
        <x14:conditionalFormatting xmlns:xm="http://schemas.microsoft.com/office/excel/2006/main">
          <x14:cfRule type="iconSet" priority="8" id="{075AD0EE-0EF6-4324-993B-B452AF19BD83}">
            <x14:iconSet iconSet="5Arrows" custom="1">
              <x14:cfvo type="percent">
                <xm:f>0</xm:f>
              </x14:cfvo>
              <x14:cfvo type="num">
                <xm:f>1.1000000000000001</xm:f>
              </x14:cfvo>
              <x14:cfvo type="num">
                <xm:f>2</xm:f>
              </x14:cfvo>
              <x14:cfvo type="num">
                <xm:f>2.1</xm:f>
              </x14:cfvo>
              <x14:cfvo type="num">
                <xm:f>3</xm:f>
              </x14:cfvo>
              <x14:cfIcon iconSet="3TrafficLights2" iconId="0"/>
              <x14:cfIcon iconSet="3Triangles" iconId="0"/>
              <x14:cfIcon iconSet="3TrafficLights2" iconId="1"/>
              <x14:cfIcon iconSet="3Triangles" iconId="2"/>
              <x14:cfIcon iconSet="3TrafficLights2" iconId="2"/>
            </x14:iconSet>
          </x14:cfRule>
          <xm:sqref>F33</xm:sqref>
        </x14:conditionalFormatting>
        <x14:conditionalFormatting xmlns:xm="http://schemas.microsoft.com/office/excel/2006/main">
          <x14:cfRule type="iconSet" priority="7" id="{1B56FB98-6CED-49FE-A062-766F35F3F97E}">
            <x14:iconSet iconSet="5Arrows" custom="1">
              <x14:cfvo type="percent">
                <xm:f>0</xm:f>
              </x14:cfvo>
              <x14:cfvo type="num">
                <xm:f>1.1000000000000001</xm:f>
              </x14:cfvo>
              <x14:cfvo type="num">
                <xm:f>2</xm:f>
              </x14:cfvo>
              <x14:cfvo type="num">
                <xm:f>2.1</xm:f>
              </x14:cfvo>
              <x14:cfvo type="num">
                <xm:f>3</xm:f>
              </x14:cfvo>
              <x14:cfIcon iconSet="3TrafficLights2" iconId="0"/>
              <x14:cfIcon iconSet="3Triangles" iconId="0"/>
              <x14:cfIcon iconSet="3TrafficLights2" iconId="1"/>
              <x14:cfIcon iconSet="3Triangles" iconId="2"/>
              <x14:cfIcon iconSet="3TrafficLights2" iconId="2"/>
            </x14:iconSet>
          </x14:cfRule>
          <xm:sqref>F37</xm:sqref>
        </x14:conditionalFormatting>
        <x14:conditionalFormatting xmlns:xm="http://schemas.microsoft.com/office/excel/2006/main">
          <x14:cfRule type="iconSet" priority="5" id="{2BAEEE1D-A424-452F-AFEF-4EADA64776C9}">
            <x14:iconSet iconSet="5Arrows" custom="1">
              <x14:cfvo type="percent">
                <xm:f>0</xm:f>
              </x14:cfvo>
              <x14:cfvo type="num">
                <xm:f>0.2</xm:f>
              </x14:cfvo>
              <x14:cfvo type="num">
                <xm:f>0.4</xm:f>
              </x14:cfvo>
              <x14:cfvo type="num">
                <xm:f>0.6</xm:f>
              </x14:cfvo>
              <x14:cfvo type="num">
                <xm:f>0.8</xm:f>
              </x14:cfvo>
              <x14:cfIcon iconSet="3TrafficLights2" iconId="0"/>
              <x14:cfIcon iconSet="3Triangles" iconId="0"/>
              <x14:cfIcon iconSet="3TrafficLights2" iconId="1"/>
              <x14:cfIcon iconSet="3Triangles" iconId="2"/>
              <x14:cfIcon iconSet="3TrafficLights2" iconId="2"/>
            </x14:iconSet>
          </x14:cfRule>
          <xm:sqref>H42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lineWeight="2.25" displayEmptyCellsAs="gap" markers="1" high="1" first="1" last="1" xr2:uid="{00000000-0003-0000-0000-000006000000}">
          <x14:colorSeries rgb="FFFFC00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Matriz!C14:E14</xm:f>
              <xm:sqref>C15</xm:sqref>
            </x14:sparkline>
          </x14:sparklines>
        </x14:sparklineGroup>
        <x14:sparklineGroup lineWeight="2.25" displayEmptyCellsAs="gap" markers="1" high="1" low="1" xr2:uid="{00000000-0003-0000-0000-000005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Matriz!F14:K14</xm:f>
              <xm:sqref>F15</xm:sqref>
            </x14:sparkline>
          </x14:sparklines>
        </x14:sparklineGroup>
        <x14:sparklineGroup lineWeight="2.25" displayEmptyCellsAs="gap" markers="1" high="1" low="1" xr2:uid="{00000000-0003-0000-0000-000004000000}">
          <x14:colorSeries theme="4" tint="-0.249977111117893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Matriz!L14:N14</xm:f>
              <xm:sqref>L15</xm:sqref>
            </x14:sparkline>
          </x14:sparklines>
        </x14:sparklineGroup>
        <x14:sparklineGroup lineWeight="2.25" displayEmptyCellsAs="gap" markers="1" high="1" low="1" xr2:uid="{00000000-0003-0000-0000-000003000000}">
          <x14:colorSeries theme="9" tint="-0.249977111117893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Matriz!O14:R14</xm:f>
              <xm:sqref>O15</xm:sqref>
            </x14:sparkline>
          </x14:sparklines>
        </x14:sparklineGroup>
        <x14:sparklineGroup manualMin="1000" type="column" displayEmptyCellsAs="gap" minAxisType="custom" xr2:uid="{00000000-0003-0000-0000-000002000000}">
          <x14:colorSeries theme="9" tint="-0.499984740745262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Matriz!I33:I36</xm:f>
              <xm:sqref>I33</xm:sqref>
            </x14:sparkline>
          </x14:sparklines>
        </x14:sparklineGroup>
        <x14:sparklineGroup manualMin="1000" type="column" displayEmptyCellsAs="gap" minAxisType="custom" xr2:uid="{00000000-0003-0000-0000-000001000000}">
          <x14:colorSeries theme="9" tint="-0.499984740745262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Matriz!I37:I41</xm:f>
              <xm:sqref>I37</xm:sqref>
            </x14:sparkline>
          </x14:sparklines>
        </x14:sparklineGroup>
        <x14:sparklineGroup manualMin="1000" type="column" displayEmptyCellsAs="gap" minAxisType="custom" xr2:uid="{00000000-0003-0000-0000-000000000000}">
          <x14:colorSeries theme="9" tint="-0.499984740745262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Matriz!I26:I32</xm:f>
              <xm:sqref>I26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 Sebastian Calle Lituma</dc:creator>
  <cp:lastModifiedBy>CHACA ESPINOZA, RONAL</cp:lastModifiedBy>
  <dcterms:created xsi:type="dcterms:W3CDTF">2023-11-09T21:20:53Z</dcterms:created>
  <dcterms:modified xsi:type="dcterms:W3CDTF">2025-09-15T16:32:44Z</dcterms:modified>
</cp:coreProperties>
</file>