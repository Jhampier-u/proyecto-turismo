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\Desktop\Universidades\Asignaturas ESPOL\Fundamentos de Planificación Turística\Herreamientas Libro\Análisis Turístico Territorial\"/>
    </mc:Choice>
  </mc:AlternateContent>
  <xr:revisionPtr revIDLastSave="0" documentId="13_ncr:1_{5894078C-2864-4C5D-BD53-05F8B4B0529C}" xr6:coauthVersionLast="47" xr6:coauthVersionMax="47" xr10:uidLastSave="{00000000-0000-0000-0000-000000000000}"/>
  <bookViews>
    <workbookView xWindow="-120" yWindow="-120" windowWidth="20730" windowHeight="11160" firstSheet="1" activeTab="2" xr2:uid="{934BB885-4238-494A-8A9A-D71032FCBBAA}"/>
  </bookViews>
  <sheets>
    <sheet name="Contenido Territorial" sheetId="3" r:id="rId1"/>
    <sheet name="Ubicación y Conectividad" sheetId="2" r:id="rId2"/>
    <sheet name="Valoración CT" sheetId="4" r:id="rId3"/>
    <sheet name="Valoración UC" sheetId="5" r:id="rId4"/>
    <sheet name="Matriz" sheetId="1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B19" i="4"/>
  <c r="D13" i="5" l="1"/>
  <c r="D12" i="5"/>
  <c r="D11" i="5"/>
  <c r="D10" i="5"/>
  <c r="D9" i="5"/>
  <c r="D8" i="5"/>
  <c r="D7" i="5"/>
  <c r="D6" i="5"/>
  <c r="D5" i="5"/>
  <c r="D6" i="4"/>
  <c r="D7" i="4"/>
  <c r="D8" i="4"/>
  <c r="D9" i="4"/>
  <c r="D10" i="4"/>
  <c r="D11" i="4"/>
  <c r="D13" i="4"/>
  <c r="D14" i="4"/>
  <c r="D15" i="4"/>
  <c r="D16" i="4"/>
  <c r="D5" i="4"/>
  <c r="D17" i="4" s="1"/>
  <c r="B7" i="1" l="1"/>
  <c r="D14" i="5"/>
  <c r="C7" i="1" s="1"/>
</calcChain>
</file>

<file path=xl/sharedStrings.xml><?xml version="1.0" encoding="utf-8"?>
<sst xmlns="http://schemas.openxmlformats.org/spreadsheetml/2006/main" count="164" uniqueCount="151">
  <si>
    <t>Escala Valorativa</t>
  </si>
  <si>
    <t>Disponibilidad de Servicios de Salud</t>
  </si>
  <si>
    <t>Disponibilidad de Seguridad</t>
  </si>
  <si>
    <t>Distancia desde el lugar y el principal mercado emisor</t>
  </si>
  <si>
    <t>Distancia del lugar al sitio de visita más cercano</t>
  </si>
  <si>
    <t>Actividad económica del lugar</t>
  </si>
  <si>
    <t>Conglomeración territorial y concentración de oferta actual y/o potencial</t>
  </si>
  <si>
    <t>Infraestructura de conectividad</t>
  </si>
  <si>
    <t>Frecuencia de conectividad hacia el territorio</t>
  </si>
  <si>
    <t>Disponibilidad de Servicios de Agua Potable y Alcantarillado</t>
  </si>
  <si>
    <t>Disponibilidad de Servicios de Comunicación</t>
  </si>
  <si>
    <t>Disponibilidad de Recolección de Basura</t>
  </si>
  <si>
    <t>Señalización</t>
  </si>
  <si>
    <t>Criterios</t>
  </si>
  <si>
    <t>Escala de Valoración</t>
  </si>
  <si>
    <t>Fuente</t>
  </si>
  <si>
    <t>Tabla Final Resultante</t>
  </si>
  <si>
    <t>Lugar</t>
  </si>
  <si>
    <t>Sitio 2</t>
  </si>
  <si>
    <t>Sitio 3</t>
  </si>
  <si>
    <t>Sitio 4</t>
  </si>
  <si>
    <t>Sitio 5</t>
  </si>
  <si>
    <t>Sitio 6</t>
  </si>
  <si>
    <t>Sitio 7</t>
  </si>
  <si>
    <t>Sitio 8</t>
  </si>
  <si>
    <t>Sitio 9</t>
  </si>
  <si>
    <t>Sitio 10</t>
  </si>
  <si>
    <t>Disponibilidad de elementos culturales identitarios del territorio</t>
  </si>
  <si>
    <t>Disponibilidad de espacios naturales característicos y zonas de recreación en el territorio</t>
  </si>
  <si>
    <t>Distancia del lugar al atractivo turístico más importante</t>
  </si>
  <si>
    <t>Disponibilidad de Servicios de Energía Eléctica y Alumbrado Público</t>
  </si>
  <si>
    <t>Ausencia de servicios de energía electríca y alumbrado público en el lugar</t>
  </si>
  <si>
    <t>El 100% del territorio cuenta con el servicio de energía eléctrica y alumbrado público</t>
  </si>
  <si>
    <t>Ausencia de servicios de agua potable y alcantarillado en el lugar</t>
  </si>
  <si>
    <t>El 50% o menos del territorio cuenta con el servicio de agua potable y alcantarillado</t>
  </si>
  <si>
    <t>El 50% o menos del territorio cuenta con el servicio de energía eléctrica y alumbrado público</t>
  </si>
  <si>
    <t>El 100% del territorio cuenta con el servicio de agua potable y alcantarillado</t>
  </si>
  <si>
    <t>Ausencia de servicios de telefonía (pública y/o móvil) en el territorio</t>
  </si>
  <si>
    <t>El 50% o menos del territorio cuenta con el servicio telefonía pública, y el sitio no cuenta con recepción de señal móvil</t>
  </si>
  <si>
    <t>El 100% del territorio cuenta con el servicio de telefonía pública y el servicio de recepción de señal móvil es adecuado</t>
  </si>
  <si>
    <t>Ausencia de servicios de recolección de basura en el lugar</t>
  </si>
  <si>
    <t>El territorio cuenta con servicio de recolección de basura pero no existe tratamiento de la misma.</t>
  </si>
  <si>
    <t>El territorio cuenta con el servicio de recolección de basura y tratamiento de la misma</t>
  </si>
  <si>
    <t>Presencia de hospitales, clínicas, centros de salud y dispensarios médicos en el territorio.</t>
  </si>
  <si>
    <t>Presencia de dispensarios médicos en el lugar</t>
  </si>
  <si>
    <t>Presencia de centros de salud o puestos de atención inmediata básica en el lugar</t>
  </si>
  <si>
    <t>Presencia de servicios públicos y/o privados de seguridad que generan un nivel de delincuencia mínimo en el sitio</t>
  </si>
  <si>
    <t>Ausencia de servicios de seguridad públicos y/o privados en el lugar</t>
  </si>
  <si>
    <t>Presencia de servicios de seguridad públicos y/o privados en el lugar pero con un ineficiente cumplimiento de la actividad en el lugar</t>
  </si>
  <si>
    <t>El turismo forma parte importante de la dinámica turística en la economía del lugar</t>
  </si>
  <si>
    <t>El turismo no es visto como una actividad económica importante para el sitio</t>
  </si>
  <si>
    <t>El turismo es visto como una herramienta de dinamización económica pero no se han evidenciado sus resultados en el lugar</t>
  </si>
  <si>
    <t>No se evidencias manifestaciones culturales identitarias en el territorio</t>
  </si>
  <si>
    <t>El territorio cuenta con manifestaciones culturales relevantes pero con poca valorización de los residentes</t>
  </si>
  <si>
    <t>El lugar cuenta con manifestaciones culturales relevantes y características de la población local</t>
  </si>
  <si>
    <t>No se evidencian sitios naturales o espacios de recreación que puedan ser utilizados en el territorio.</t>
  </si>
  <si>
    <t>El territorio cuenta con sitios naturales y zonas de recreación poco aprovechados</t>
  </si>
  <si>
    <t>El territorio cuenta con sitios naturales y espacios de recreación atractivos para el desarrollo de actividades turísticas y/o lúdicas</t>
  </si>
  <si>
    <t>Visitas insitu, documentos públicos, fuentes secundarias</t>
  </si>
  <si>
    <t>Contenido Territorial</t>
  </si>
  <si>
    <t>Ubicación y Conectividad</t>
  </si>
  <si>
    <t>Vialidad</t>
  </si>
  <si>
    <t>Las vías de conectividad hacia el territorio se encuentran en mal estado y son de tercer orden principalmente</t>
  </si>
  <si>
    <t>Las vías de acceso al territorio muestran un deterioro considerable y en su mayoría son de segundo orden</t>
  </si>
  <si>
    <t>PDOT, Fuentes de información primaria, fuentes de información secundaria, visitas in situ, documentos oficiales, entre otros.</t>
  </si>
  <si>
    <t>El territorio no cuenta con espacios públicos de conectividad de ningún tipo</t>
  </si>
  <si>
    <t>El territorio cuenta con un terminal terrestre o estación de buses que facilita su traslado hacia el sitio</t>
  </si>
  <si>
    <t>El lugar cuenta con un aeropuerto, terminal terrestre y/o puerto que facilita su conectividad para el residente y el visitante</t>
  </si>
  <si>
    <t>El territorio cuenta con servicios de transportación públicos y/o privados que lo conectan con otros lugares de manera diaria y permanente</t>
  </si>
  <si>
    <t>El territorio cuenta con servicios de transporte público y/o privado que lo conectan de manera semanal</t>
  </si>
  <si>
    <t xml:space="preserve">El territorio cuenta con servicios de transporte público y/o privado que lo conecta ciertos días de la semana y en horarios específicos </t>
  </si>
  <si>
    <t>El territorio se encuentra ubicado a más de 200 km de distancia del atractivo turístico más relevante de su zona de influencia</t>
  </si>
  <si>
    <t>El territorio se encuentra ubicado entre los 199 a 100 km de distancia del atractivo turístico más relevante de la zona de influencia</t>
  </si>
  <si>
    <t>El territorio se encuentra ubicado a menos de 100 km de distancia del atractivo turístico más relevante de la zona de influencia</t>
  </si>
  <si>
    <t>El territorio se encuentra ubicado a más de 200 km de distancia del sitio de visita más relevante de su zona de influencia</t>
  </si>
  <si>
    <t>El territorio se encuentra ubicado entre los 199 a 100 km de distancia del sitio de visita más relevante de la zona de influencia</t>
  </si>
  <si>
    <t>El territorio se encuentra ubicado a menos de 100 km de distancia del sitio de visita más relevante de la zona de influencia</t>
  </si>
  <si>
    <t>Distancia del lugar al destino turístico más cercano</t>
  </si>
  <si>
    <t>El territorio se encuentra ubicado a más de 200 km de distancia del destino turístico más relevante de su zona de influencia</t>
  </si>
  <si>
    <t>El territorio se encuentra ubicado entre los 199 a 100 km de distancia del destino turístico más relevante de la zona de influencia</t>
  </si>
  <si>
    <t>El territorio se encuentra ubicado a menos de 100 km de distancia del destino turístico más relevante de la zona de influencia</t>
  </si>
  <si>
    <t>El territorio se encuentra ubicado a más de 200 km de distancia de su principal espacio emisor de visitantes</t>
  </si>
  <si>
    <t>El territorio se encuentra ubicado entre los 199 a 100 km de distancia de su principal espacio emisor de visitantes</t>
  </si>
  <si>
    <t>El territorio se encuentra ubicado a menos de 100 km de distancia  de su principal espacio emisor de visitantes</t>
  </si>
  <si>
    <t>Ausencia de señalización vial que favorezca la llegada al territorio</t>
  </si>
  <si>
    <t>Señalización vial incomprensible, con dificultad de lectura o de ubicación para llegar al sitio</t>
  </si>
  <si>
    <t>Señalización vial adecuadamente colocada y mantenida que favorece el traslado adecuado hacia el sitio</t>
  </si>
  <si>
    <t>El 100% de los recursos y/o atractivos que posee el lugar se encuentran en un radio mayor a los 15 kilómetros</t>
  </si>
  <si>
    <t>El 100% de los recursos y/o atractivos que posee el lugar se encuentran en un radio mayor a los 10 kilómetros</t>
  </si>
  <si>
    <t>El 100% de los recursos y/o atractivos que posee el lugar se encuentran en un radio mayor a los 5 kilómetros</t>
  </si>
  <si>
    <t>Valoración</t>
  </si>
  <si>
    <t>Calificación</t>
  </si>
  <si>
    <t>TOTAL</t>
  </si>
  <si>
    <t>Vialidad (V)</t>
  </si>
  <si>
    <t>Infraestructura de conectividad (IC)</t>
  </si>
  <si>
    <t>Frecuencia de conectividad hacia el territorio (FC)</t>
  </si>
  <si>
    <t>Distancia del lugar al sitio de visita más cercano (DS)</t>
  </si>
  <si>
    <t>Distancia del lugar al destino turístico más cercano (DD)</t>
  </si>
  <si>
    <t>Distancia desde el lugar y el principal mercado emisor (DM)</t>
  </si>
  <si>
    <t>Conglomeración territorial y concentración de oferta actual y/o potencial (CO)</t>
  </si>
  <si>
    <t>Señalización (S)</t>
  </si>
  <si>
    <t>Distancia del lugar al atractivo turístico más importante (DT)</t>
  </si>
  <si>
    <t>Disponibilidad de Servicios de Energía Eléctica y Alumbrado Público (EE)</t>
  </si>
  <si>
    <t>Disponibilidad de Servicios de Comunicación (SC)</t>
  </si>
  <si>
    <t>Disponibilidad de Recolección de Basura (RB)</t>
  </si>
  <si>
    <t>Disponibilidad de Servicios de Salud (SS)</t>
  </si>
  <si>
    <t>Actividad económica del lugar (AE)</t>
  </si>
  <si>
    <t>Disponibilidad de elementos culturales identitarios del territorio (DC)</t>
  </si>
  <si>
    <t>Disponibilidad de espacios naturales característicos y zonas de recreación en el territorio (DN)</t>
  </si>
  <si>
    <t>EE</t>
  </si>
  <si>
    <t>AP</t>
  </si>
  <si>
    <t>SC</t>
  </si>
  <si>
    <t>RB</t>
  </si>
  <si>
    <t>SS</t>
  </si>
  <si>
    <t>DS</t>
  </si>
  <si>
    <t>AE</t>
  </si>
  <si>
    <t>DC</t>
  </si>
  <si>
    <t>DN</t>
  </si>
  <si>
    <t>V</t>
  </si>
  <si>
    <t>IC</t>
  </si>
  <si>
    <t>FC</t>
  </si>
  <si>
    <t>DT</t>
  </si>
  <si>
    <t>DD</t>
  </si>
  <si>
    <t>DM</t>
  </si>
  <si>
    <t>CO</t>
  </si>
  <si>
    <t>S</t>
  </si>
  <si>
    <t>Disponibilidad de Seguridad (SG)</t>
  </si>
  <si>
    <t>SG</t>
  </si>
  <si>
    <t>PDOT, PDT, Fuentes secundarias, fuentes oficiales públicas.</t>
  </si>
  <si>
    <t>Conservación y cuidado de los recursos naturales y culturales</t>
  </si>
  <si>
    <t>Altos índices de contaminación, pérdida de la identidad local o efectos negativos socioculturales y ambientales</t>
  </si>
  <si>
    <t>El territorio demuestra una gestión adecuada para minimizar los impactos socioculturales y ambientales del sitio.</t>
  </si>
  <si>
    <t>El territorio demuestra indicios de procesos de conservación y cuidado de los recursos naturales y culturales del lugar</t>
  </si>
  <si>
    <t>Conservación y cuidado de los reursos naturales y/o culturales (CR)</t>
  </si>
  <si>
    <t>CR</t>
  </si>
  <si>
    <t>Organización Social (OS)</t>
  </si>
  <si>
    <t>OS</t>
  </si>
  <si>
    <t>Organización Social</t>
  </si>
  <si>
    <t>El territorio demuestra no cuenta con procesos de organización social evidenciables</t>
  </si>
  <si>
    <t>El territorio se encuentra organizado de manera eficiente y activa por parte de la sociedad que lo conforma</t>
  </si>
  <si>
    <t>El lugar cuenta con indicios de organización social pero aún se mantienen problemas internos visibles</t>
  </si>
  <si>
    <t>Disponibilidad de Servicios de Agua Potable, Alcantarillado y Tratamiento de Aguas (AP)</t>
  </si>
  <si>
    <t>Problemas sociales en el territorio (PS)</t>
  </si>
  <si>
    <t>PS</t>
  </si>
  <si>
    <t>Problemas Sociales en el Territorio</t>
  </si>
  <si>
    <t>El territorio presenta altos índices de problemática social que se podrían ver afectadas por el turismo</t>
  </si>
  <si>
    <t>El territorio cuenta con procesos para mitigar o disminuir el impacto negativo de los problemas sociales en el lugar</t>
  </si>
  <si>
    <t>El territorio se encuentra trabajando en procesos de mitigación de impactos sociales pero que no han sido ejecutados aún</t>
  </si>
  <si>
    <r>
      <rPr>
        <b/>
        <sz val="11"/>
        <color theme="1"/>
        <rFont val="Calibri"/>
        <family val="2"/>
        <scheme val="minor"/>
      </rPr>
      <t xml:space="preserve">Elaborado por: </t>
    </r>
    <r>
      <rPr>
        <sz val="11"/>
        <color theme="1"/>
        <rFont val="Calibri"/>
        <family val="2"/>
        <scheme val="minor"/>
      </rPr>
      <t>Lic. Numa Sebastián Calle Lituma, Esp, Mg. MBA, PhD (c) y Lic. Ronal Edison Chaca Espinoza, Mg, PhD.</t>
    </r>
  </si>
  <si>
    <t>Sitio 1</t>
  </si>
  <si>
    <t>Las vías de acceso al territorio cuentan con un mantenimiento adecuado y son de primer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</si>
</sst>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 applyProtection="1">
      <protection locked="0"/>
    </xf>
    <xf numFmtId="0" fontId="3" fillId="2" borderId="0" xfId="0" applyFont="1" applyFill="1" applyProtection="1">
      <protection locked="0"/>
    </xf>
    <xf numFmtId="0" fontId="0" fillId="2" borderId="1" xfId="0" applyFill="1" applyBorder="1" applyAlignment="1" applyProtection="1">
      <alignment vertical="center" wrapText="1"/>
      <protection locked="0"/>
    </xf>
    <xf numFmtId="0" fontId="0" fillId="2" borderId="0" xfId="0" applyFill="1"/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9" fontId="0" fillId="2" borderId="0" xfId="0" applyNumberFormat="1" applyFill="1" applyProtection="1">
      <protection locked="0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9" fontId="0" fillId="2" borderId="3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2" fontId="0" fillId="2" borderId="3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2" borderId="3" xfId="1" applyNumberFormat="1" applyFont="1" applyFill="1" applyBorder="1" applyAlignment="1" applyProtection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wrapText="1"/>
    </xf>
    <xf numFmtId="9" fontId="0" fillId="2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0" fillId="2" borderId="0" xfId="0" applyFill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F507A6A4-39F3-47A9-99A7-0A0003B4A7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Gráfica de Red del</a:t>
            </a:r>
            <a:r>
              <a:rPr lang="es-EC" baseline="0"/>
              <a:t> Contenido Territorial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'Valoración CT'!$F$5:$F$16</c:f>
              <c:strCache>
                <c:ptCount val="12"/>
                <c:pt idx="0">
                  <c:v>EE</c:v>
                </c:pt>
                <c:pt idx="1">
                  <c:v>AP</c:v>
                </c:pt>
                <c:pt idx="2">
                  <c:v>SC</c:v>
                </c:pt>
                <c:pt idx="3">
                  <c:v>RB</c:v>
                </c:pt>
                <c:pt idx="4">
                  <c:v>PS</c:v>
                </c:pt>
                <c:pt idx="5">
                  <c:v>SS</c:v>
                </c:pt>
                <c:pt idx="6">
                  <c:v>SG</c:v>
                </c:pt>
                <c:pt idx="7">
                  <c:v>CR</c:v>
                </c:pt>
                <c:pt idx="8">
                  <c:v>AE</c:v>
                </c:pt>
                <c:pt idx="9">
                  <c:v>OS</c:v>
                </c:pt>
                <c:pt idx="10">
                  <c:v>DC</c:v>
                </c:pt>
                <c:pt idx="11">
                  <c:v>DN</c:v>
                </c:pt>
              </c:strCache>
            </c:strRef>
          </c:cat>
          <c:val>
            <c:numRef>
              <c:f>'Valoración CT'!$D$5:$D$16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8-4B5D-8F28-3922F258B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70448"/>
        <c:axId val="106824672"/>
      </c:radarChart>
      <c:catAx>
        <c:axId val="21017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6824672"/>
        <c:crosses val="autoZero"/>
        <c:auto val="1"/>
        <c:lblAlgn val="ctr"/>
        <c:lblOffset val="100"/>
        <c:noMultiLvlLbl val="0"/>
      </c:catAx>
      <c:valAx>
        <c:axId val="106824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1017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Gráfica de Red de</a:t>
            </a:r>
            <a:r>
              <a:rPr lang="es-EC" baseline="0"/>
              <a:t> la Ubicación y Conectividad del Territorio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24785393250645776"/>
          <c:y val="0.14856746547475549"/>
          <c:w val="0.50485834389434825"/>
          <c:h val="0.81158201912070715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'Valoración UC'!$F$5:$F$13</c:f>
              <c:strCache>
                <c:ptCount val="9"/>
                <c:pt idx="0">
                  <c:v>V</c:v>
                </c:pt>
                <c:pt idx="1">
                  <c:v>IC</c:v>
                </c:pt>
                <c:pt idx="2">
                  <c:v>FC</c:v>
                </c:pt>
                <c:pt idx="3">
                  <c:v>DT</c:v>
                </c:pt>
                <c:pt idx="4">
                  <c:v>DS</c:v>
                </c:pt>
                <c:pt idx="5">
                  <c:v>DD</c:v>
                </c:pt>
                <c:pt idx="6">
                  <c:v>DM</c:v>
                </c:pt>
                <c:pt idx="7">
                  <c:v>CO</c:v>
                </c:pt>
                <c:pt idx="8">
                  <c:v>S</c:v>
                </c:pt>
              </c:strCache>
            </c:strRef>
          </c:cat>
          <c:val>
            <c:numRef>
              <c:f>'Valoración UC'!$D$5:$D$13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F8-4879-BF73-1FB55AB3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70448"/>
        <c:axId val="106824672"/>
      </c:radarChart>
      <c:catAx>
        <c:axId val="21017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6824672"/>
        <c:crosses val="autoZero"/>
        <c:auto val="1"/>
        <c:lblAlgn val="ctr"/>
        <c:lblOffset val="100"/>
        <c:noMultiLvlLbl val="0"/>
      </c:catAx>
      <c:valAx>
        <c:axId val="106824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1017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strRef>
              <c:f>Matriz!$A$7</c:f>
              <c:strCache>
                <c:ptCount val="1"/>
                <c:pt idx="0">
                  <c:v>Sitio 1</c:v>
                </c:pt>
              </c:strCache>
            </c:strRef>
          </c:tx>
          <c:spPr>
            <a:noFill/>
            <a:ln>
              <a:solidFill>
                <a:schemeClr val="accent1"/>
              </a:solidFill>
            </a:ln>
            <a:effectLst>
              <a:glow rad="63500">
                <a:schemeClr val="accent1">
                  <a:alpha val="18000"/>
                </a:schemeClr>
              </a:glow>
            </a:effectLst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84-487F-8A32-E1D466F29C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Matriz!$B$7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Matriz!$C$7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3084-487F-8A32-E1D466F29C3A}"/>
            </c:ext>
          </c:extLst>
        </c:ser>
        <c:ser>
          <c:idx val="1"/>
          <c:order val="1"/>
          <c:tx>
            <c:strRef>
              <c:f>'[1]Gráfica Resultante'!$A$15</c:f>
              <c:strCache>
                <c:ptCount val="1"/>
                <c:pt idx="0">
                  <c:v>Sitio 10</c:v>
                </c:pt>
              </c:strCache>
            </c:strRef>
          </c:tx>
          <c:spPr>
            <a:noFill/>
            <a:ln>
              <a:solidFill>
                <a:schemeClr val="accent3"/>
              </a:solidFill>
            </a:ln>
            <a:effectLst>
              <a:glow rad="63500">
                <a:schemeClr val="accent3"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'[1]Gráfica Resultante'!$B$15</c:f>
              <c:numCache>
                <c:formatCode>General</c:formatCode>
                <c:ptCount val="1"/>
              </c:numCache>
            </c:numRef>
          </c:xVal>
          <c:yVal>
            <c:numRef>
              <c:f>'[1]Gráfica Resultante'!$C$15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3084-487F-8A32-E1D466F29C3A}"/>
            </c:ext>
          </c:extLst>
        </c:ser>
        <c:ser>
          <c:idx val="2"/>
          <c:order val="2"/>
          <c:tx>
            <c:strRef>
              <c:f>'[1]Gráfica Resultante'!$A$7</c:f>
              <c:strCache>
                <c:ptCount val="1"/>
                <c:pt idx="0">
                  <c:v>Sitio 2</c:v>
                </c:pt>
              </c:strCache>
            </c:strRef>
          </c:tx>
          <c:spPr>
            <a:noFill/>
            <a:ln>
              <a:solidFill>
                <a:schemeClr val="accent5"/>
              </a:solidFill>
            </a:ln>
            <a:effectLst>
              <a:glow rad="63500">
                <a:schemeClr val="accent5"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xVal>
            <c:numRef>
              <c:f>'[1]Gráfica Resultante'!$B$7</c:f>
              <c:numCache>
                <c:formatCode>General</c:formatCode>
                <c:ptCount val="1"/>
              </c:numCache>
            </c:numRef>
          </c:xVal>
          <c:yVal>
            <c:numRef>
              <c:f>'[1]Gráfica Resultante'!$C$7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3-3084-487F-8A32-E1D466F29C3A}"/>
            </c:ext>
          </c:extLst>
        </c:ser>
        <c:ser>
          <c:idx val="3"/>
          <c:order val="3"/>
          <c:tx>
            <c:strRef>
              <c:f>'[1]Gráfica Resultante'!$A$8</c:f>
              <c:strCache>
                <c:ptCount val="1"/>
                <c:pt idx="0">
                  <c:v>Sitio 3</c:v>
                </c:pt>
              </c:strCache>
            </c:strRef>
          </c:tx>
          <c:spPr>
            <a:noFill/>
            <a:ln>
              <a:solidFill>
                <a:schemeClr val="accent1">
                  <a:lumMod val="60000"/>
                </a:schemeClr>
              </a:solidFill>
            </a:ln>
            <a:effectLst>
              <a:glow rad="63500">
                <a:schemeClr val="accent1">
                  <a:lumMod val="6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'[1]Gráfica Resultante'!$B$8</c:f>
              <c:numCache>
                <c:formatCode>General</c:formatCode>
                <c:ptCount val="1"/>
              </c:numCache>
            </c:numRef>
          </c:xVal>
          <c:yVal>
            <c:numRef>
              <c:f>'[1]Gráfica Resultante'!$C$8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4-3084-487F-8A32-E1D466F29C3A}"/>
            </c:ext>
          </c:extLst>
        </c:ser>
        <c:ser>
          <c:idx val="4"/>
          <c:order val="4"/>
          <c:tx>
            <c:strRef>
              <c:f>'[1]Gráfica Resultante'!$A$9</c:f>
              <c:strCache>
                <c:ptCount val="1"/>
                <c:pt idx="0">
                  <c:v>Sitio 4</c:v>
                </c:pt>
              </c:strCache>
            </c:strRef>
          </c:tx>
          <c:spPr>
            <a:noFill/>
            <a:ln>
              <a:solidFill>
                <a:schemeClr val="accent3">
                  <a:lumMod val="60000"/>
                </a:schemeClr>
              </a:solidFill>
            </a:ln>
            <a:effectLst>
              <a:glow rad="63500">
                <a:schemeClr val="accent3">
                  <a:lumMod val="6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'[1]Gráfica Resultante'!$B$9</c:f>
              <c:numCache>
                <c:formatCode>General</c:formatCode>
                <c:ptCount val="1"/>
              </c:numCache>
            </c:numRef>
          </c:xVal>
          <c:yVal>
            <c:numRef>
              <c:f>'[1]Gráfica Resultante'!$C$9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5-3084-487F-8A32-E1D466F29C3A}"/>
            </c:ext>
          </c:extLst>
        </c:ser>
        <c:ser>
          <c:idx val="5"/>
          <c:order val="5"/>
          <c:tx>
            <c:strRef>
              <c:f>'[1]Gráfica Resultante'!$A$10</c:f>
              <c:strCache>
                <c:ptCount val="1"/>
                <c:pt idx="0">
                  <c:v>Sitio 5</c:v>
                </c:pt>
              </c:strCache>
            </c:strRef>
          </c:tx>
          <c:spPr>
            <a:noFill/>
            <a:ln>
              <a:solidFill>
                <a:schemeClr val="accent5">
                  <a:lumMod val="60000"/>
                </a:schemeClr>
              </a:solidFill>
            </a:ln>
            <a:effectLst>
              <a:glow rad="63500">
                <a:schemeClr val="accent5">
                  <a:lumMod val="6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'[1]Gráfica Resultante'!$B$10</c:f>
              <c:numCache>
                <c:formatCode>General</c:formatCode>
                <c:ptCount val="1"/>
              </c:numCache>
            </c:numRef>
          </c:xVal>
          <c:yVal>
            <c:numRef>
              <c:f>'[1]Gráfica Resultante'!$C$10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6-3084-487F-8A32-E1D466F29C3A}"/>
            </c:ext>
          </c:extLst>
        </c:ser>
        <c:ser>
          <c:idx val="6"/>
          <c:order val="6"/>
          <c:tx>
            <c:strRef>
              <c:f>'[1]Gráfica Resultante'!$A$11</c:f>
              <c:strCache>
                <c:ptCount val="1"/>
                <c:pt idx="0">
                  <c:v>Sitio 6</c:v>
                </c:pt>
              </c:strCache>
            </c:strRef>
          </c:tx>
          <c:spPr>
            <a:noFill/>
            <a:ln>
              <a:solidFill>
                <a:schemeClr val="accent1">
                  <a:lumMod val="80000"/>
                  <a:lumOff val="20000"/>
                </a:schemeClr>
              </a:solidFill>
            </a:ln>
            <a:effectLst>
              <a:glow rad="63500">
                <a:schemeClr val="accent1">
                  <a:lumMod val="80000"/>
                  <a:lumOff val="2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'[1]Gráfica Resultante'!$B$11</c:f>
              <c:numCache>
                <c:formatCode>General</c:formatCode>
                <c:ptCount val="1"/>
              </c:numCache>
            </c:numRef>
          </c:xVal>
          <c:yVal>
            <c:numRef>
              <c:f>'[1]Gráfica Resultante'!$C$11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7-3084-487F-8A32-E1D466F29C3A}"/>
            </c:ext>
          </c:extLst>
        </c:ser>
        <c:ser>
          <c:idx val="7"/>
          <c:order val="7"/>
          <c:tx>
            <c:strRef>
              <c:f>'[1]Gráfica Resultante'!$A$12</c:f>
              <c:strCache>
                <c:ptCount val="1"/>
                <c:pt idx="0">
                  <c:v>Sitio 7</c:v>
                </c:pt>
              </c:strCache>
            </c:strRef>
          </c:tx>
          <c:spPr>
            <a:noFill/>
            <a:ln>
              <a:solidFill>
                <a:schemeClr val="accent3">
                  <a:lumMod val="80000"/>
                  <a:lumOff val="20000"/>
                </a:schemeClr>
              </a:solidFill>
            </a:ln>
            <a:effectLst>
              <a:glow rad="63500">
                <a:schemeClr val="accent3">
                  <a:lumMod val="80000"/>
                  <a:lumOff val="2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'[1]Gráfica Resultante'!$B$12</c:f>
              <c:numCache>
                <c:formatCode>General</c:formatCode>
                <c:ptCount val="1"/>
              </c:numCache>
            </c:numRef>
          </c:xVal>
          <c:yVal>
            <c:numRef>
              <c:f>'[1]Gráfica Resultante'!$C$12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8-3084-487F-8A32-E1D466F29C3A}"/>
            </c:ext>
          </c:extLst>
        </c:ser>
        <c:ser>
          <c:idx val="8"/>
          <c:order val="8"/>
          <c:tx>
            <c:strRef>
              <c:f>'[1]Gráfica Resultante'!$A$13</c:f>
              <c:strCache>
                <c:ptCount val="1"/>
                <c:pt idx="0">
                  <c:v>Sitio 8</c:v>
                </c:pt>
              </c:strCache>
            </c:strRef>
          </c:tx>
          <c:spPr>
            <a:noFill/>
            <a:ln>
              <a:solidFill>
                <a:schemeClr val="accent5">
                  <a:lumMod val="80000"/>
                  <a:lumOff val="20000"/>
                </a:schemeClr>
              </a:solidFill>
            </a:ln>
            <a:effectLst>
              <a:glow rad="63500">
                <a:schemeClr val="accent5">
                  <a:lumMod val="80000"/>
                  <a:lumOff val="2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'[1]Gráfica Resultante'!$B$13</c:f>
              <c:numCache>
                <c:formatCode>General</c:formatCode>
                <c:ptCount val="1"/>
              </c:numCache>
            </c:numRef>
          </c:xVal>
          <c:yVal>
            <c:numRef>
              <c:f>'[1]Gráfica Resultante'!$C$13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9-3084-487F-8A32-E1D466F29C3A}"/>
            </c:ext>
          </c:extLst>
        </c:ser>
        <c:ser>
          <c:idx val="9"/>
          <c:order val="9"/>
          <c:tx>
            <c:strRef>
              <c:f>'[1]Gráfica Resultante'!$A$14</c:f>
              <c:strCache>
                <c:ptCount val="1"/>
                <c:pt idx="0">
                  <c:v>Sitio 9</c:v>
                </c:pt>
              </c:strCache>
            </c:strRef>
          </c:tx>
          <c:spPr>
            <a:noFill/>
            <a:ln>
              <a:solidFill>
                <a:schemeClr val="accent1">
                  <a:lumMod val="80000"/>
                </a:schemeClr>
              </a:solidFill>
            </a:ln>
            <a:effectLst>
              <a:glow rad="63500">
                <a:schemeClr val="accent1">
                  <a:lumMod val="8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'[1]Gráfica Resultante'!$B$14</c:f>
              <c:numCache>
                <c:formatCode>General</c:formatCode>
                <c:ptCount val="1"/>
              </c:numCache>
            </c:numRef>
          </c:xVal>
          <c:yVal>
            <c:numRef>
              <c:f>'[1]Gráfica Resultante'!$C$14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A-3084-487F-8A32-E1D466F2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"/>
        <c:showNegBubbles val="1"/>
        <c:axId val="1895811152"/>
        <c:axId val="1895644000"/>
      </c:bubbleChart>
      <c:valAx>
        <c:axId val="1895811152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Contenido</a:t>
                </a:r>
                <a:r>
                  <a:rPr lang="es-EC" sz="1200" b="1" baseline="0">
                    <a:solidFill>
                      <a:schemeClr val="tx1"/>
                    </a:solidFill>
                  </a:rPr>
                  <a:t> territorial</a:t>
                </a:r>
                <a:endParaRPr lang="es-EC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1247908496732028"/>
              <c:y val="0.955524801587301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38100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95644000"/>
        <c:crossesAt val="1"/>
        <c:crossBetween val="midCat"/>
        <c:majorUnit val="1"/>
        <c:minorUnit val="0.2"/>
      </c:valAx>
      <c:valAx>
        <c:axId val="1895644000"/>
        <c:scaling>
          <c:orientation val="minMax"/>
          <c:max val="2.0499999999999998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Ubicación y Conectividad</a:t>
                </a:r>
              </a:p>
            </c:rich>
          </c:tx>
          <c:layout>
            <c:manualLayout>
              <c:xMode val="edge"/>
              <c:yMode val="edge"/>
              <c:x val="2.0751633986928104E-2"/>
              <c:y val="0.35226388888888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38100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95811152"/>
        <c:crossesAt val="1"/>
        <c:crossBetween val="midCat"/>
        <c:majorUnit val="1"/>
        <c:minorUnit val="0.2"/>
      </c:valAx>
      <c:spPr>
        <a:noFill/>
        <a:ln w="41275">
          <a:solidFill>
            <a:schemeClr val="lt1">
              <a:lumMod val="5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tint val="75000"/>
        </a:schemeClr>
      </a:solidFill>
      <a:round/>
    </a:ln>
    <a:effectLst>
      <a:outerShdw blurRad="50800" dist="50800" dir="5400000" algn="ctr" rotWithShape="0">
        <a:schemeClr val="bg1"/>
      </a:outerShdw>
      <a:softEdge rad="317500"/>
    </a:effectLst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tx1"/>
    </cs:fontRef>
    <cs:spPr>
      <a:ln>
        <a:solidFill>
          <a:schemeClr val="phClr"/>
        </a:solidFill>
      </a:ln>
      <a:effectLst>
        <a:glow rad="63500">
          <a:schemeClr val="phClr">
            <a:alpha val="18000"/>
          </a:schemeClr>
        </a:glow>
      </a:effectLst>
    </cs:spPr>
  </cs:dataPoint>
  <cs:dataPoint3D>
    <cs:lnRef idx="0">
      <cs:styleClr val="auto"/>
    </cs:lnRef>
    <cs:fillRef idx="0"/>
    <cs:effectRef idx="0">
      <cs:styleClr val="auto"/>
    </cs:effectRef>
    <cs:fontRef idx="minor">
      <a:schemeClr val="tx1"/>
    </cs:fontRef>
    <cs:spPr>
      <a:ln>
        <a:solidFill>
          <a:schemeClr val="phClr"/>
        </a:solidFill>
      </a:ln>
      <a:effectLst>
        <a:glow rad="63500">
          <a:schemeClr val="phClr">
            <a:alpha val="18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4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dk1">
          <a:lumMod val="85000"/>
          <a:lumOff val="15000"/>
        </a:schemeClr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gradFill>
          <a:gsLst>
            <a:gs pos="100000">
              <a:schemeClr val="dk1">
                <a:lumMod val="65000"/>
                <a:lumOff val="35000"/>
                <a:alpha val="24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  <a:alpha val="46000"/>
              </a:schemeClr>
            </a:gs>
            <a:gs pos="100000">
              <a:schemeClr val="dk1">
                <a:lumMod val="75000"/>
                <a:lumOff val="25000"/>
                <a:alpha val="42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tx1"/>
    </cs:fontRef>
    <cs:spPr>
      <a:solidFill>
        <a:schemeClr val="tx1">
          <a:lumMod val="85000"/>
          <a:lumOff val="15000"/>
        </a:schemeClr>
      </a:solid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104774</xdr:colOff>
      <xdr:row>3</xdr:row>
      <xdr:rowOff>352426</xdr:rowOff>
    </xdr:from>
    <xdr:to>
      <xdr:col>12</xdr:col>
      <xdr:colOff>476249</xdr:colOff>
      <xdr:row>17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4A9091-8F6E-5771-93EA-8ACD63CEE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133350</xdr:colOff>
      <xdr:row>3</xdr:row>
      <xdr:rowOff>19050</xdr:rowOff>
    </xdr:from>
    <xdr:ext cx="9886950" cy="2464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8">
              <a:extLst>
                <a:ext uri="{FF2B5EF4-FFF2-40B4-BE49-F238E27FC236}">
                  <a16:creationId xmlns:a16="http://schemas.microsoft.com/office/drawing/2014/main" id="{D3537DE6-B1AE-424E-BCCE-0F997CFC19D1}"/>
                </a:ext>
              </a:extLst>
            </xdr:cNvPr>
            <xdr:cNvSpPr txBox="1"/>
          </xdr:nvSpPr>
          <xdr:spPr>
            <a:xfrm>
              <a:off x="7696200" y="219075"/>
              <a:ext cx="9886950" cy="246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C" sz="1500" b="1" i="1">
                      <a:latin typeface="Cambria Math" panose="02040503050406030204" pitchFamily="18" charset="0"/>
                    </a:rPr>
                    <m:t>𝑪𝑻</m:t>
                  </m:r>
                  <m:r>
                    <a:rPr lang="en-US" sz="150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500"/>
                <a:t> </a:t>
              </a:r>
              <a:r>
                <a:rPr lang="en-US" sz="1200">
                  <a:latin typeface="Gigi" panose="04040504061007020D02" pitchFamily="82" charset="0"/>
                </a:rPr>
                <a:t>f </a:t>
              </a:r>
              <a:r>
                <a:rPr lang="en-US" sz="1000"/>
                <a:t>(</a:t>
              </a:r>
              <a:r>
                <a:rPr lang="en-US" sz="1000">
                  <a:latin typeface="Amasis MT Pro" panose="020B0604020202020204" pitchFamily="18" charset="0"/>
                </a:rPr>
                <a:t>EE</a:t>
              </a:r>
              <a:r>
                <a:rPr lang="en-US" sz="1000"/>
                <a:t>) * 10%</a:t>
              </a:r>
              <a:r>
                <a:rPr lang="en-US" sz="1000" baseline="0"/>
                <a:t>  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(AP) * 10% </a:t>
              </a:r>
              <a:r>
                <a:rPr lang="en-US" sz="1000" baseline="0"/>
                <a:t>+</a:t>
              </a:r>
              <a:r>
                <a:rPr lang="en-US" sz="10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(SC) * 5% </a:t>
              </a:r>
              <a:r>
                <a:rPr lang="en-US" sz="1000" baseline="0"/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000" baseline="0"/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(RB) * 10%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effectLst/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(PS) * 5% </a:t>
              </a:r>
              <a:r>
                <a:rPr lang="en-US" sz="10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(SS) * 5%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(SG) * 5%  + </a:t>
              </a:r>
              <a:r>
                <a:rPr lang="en-US" sz="1200">
                  <a:solidFill>
                    <a:schemeClr val="tx1"/>
                  </a:solidFill>
                  <a:effectLst/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(CR) * 10%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(AE) * 10% 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(OS) * 10% 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(DC) * 10% +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(DN) * 10%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US" sz="1000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8">
              <a:extLst>
                <a:ext uri="{FF2B5EF4-FFF2-40B4-BE49-F238E27FC236}">
                  <a16:creationId xmlns:a16="http://schemas.microsoft.com/office/drawing/2014/main" id="{D3537DE6-B1AE-424E-BCCE-0F997CFC19D1}"/>
                </a:ext>
              </a:extLst>
            </xdr:cNvPr>
            <xdr:cNvSpPr txBox="1"/>
          </xdr:nvSpPr>
          <xdr:spPr>
            <a:xfrm>
              <a:off x="7696200" y="219075"/>
              <a:ext cx="9886950" cy="246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C" sz="1500" b="1" i="0">
                  <a:latin typeface="Cambria Math" panose="02040503050406030204" pitchFamily="18" charset="0"/>
                </a:rPr>
                <a:t>𝑪𝑻</a:t>
              </a:r>
              <a:r>
                <a:rPr lang="en-US" sz="1500" i="0">
                  <a:latin typeface="Cambria Math" panose="02040503050406030204" pitchFamily="18" charset="0"/>
                </a:rPr>
                <a:t>=</a:t>
              </a:r>
              <a:r>
                <a:rPr lang="en-US" sz="1500"/>
                <a:t> </a:t>
              </a:r>
              <a:r>
                <a:rPr lang="en-US" sz="1200">
                  <a:latin typeface="Gigi" panose="04040504061007020D02" pitchFamily="82" charset="0"/>
                </a:rPr>
                <a:t>f </a:t>
              </a:r>
              <a:r>
                <a:rPr lang="en-US" sz="1000"/>
                <a:t>(</a:t>
              </a:r>
              <a:r>
                <a:rPr lang="en-US" sz="1000">
                  <a:latin typeface="Amasis MT Pro" panose="020B0604020202020204" pitchFamily="18" charset="0"/>
                </a:rPr>
                <a:t>EE</a:t>
              </a:r>
              <a:r>
                <a:rPr lang="en-US" sz="1000"/>
                <a:t>) * 10%</a:t>
              </a:r>
              <a:r>
                <a:rPr lang="en-US" sz="1000" baseline="0"/>
                <a:t>  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(AP) * 10% </a:t>
              </a:r>
              <a:r>
                <a:rPr lang="en-US" sz="1000" baseline="0"/>
                <a:t>+</a:t>
              </a:r>
              <a:r>
                <a:rPr lang="en-US" sz="10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(SC) * 5% </a:t>
              </a:r>
              <a:r>
                <a:rPr lang="en-US" sz="1000" baseline="0"/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000" baseline="0"/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(RB) * 10%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effectLst/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(PS) * 5% </a:t>
              </a:r>
              <a:r>
                <a:rPr lang="en-US" sz="10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(SS) * 5%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(SG) * 5%  + </a:t>
              </a:r>
              <a:r>
                <a:rPr lang="en-US" sz="1200">
                  <a:solidFill>
                    <a:schemeClr val="tx1"/>
                  </a:solidFill>
                  <a:effectLst/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(CR) * 10%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(AE) * 10% 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(OS) * 10% 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(DC) * 10% +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(DN) * 10%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US" sz="1000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238123</xdr:colOff>
      <xdr:row>3</xdr:row>
      <xdr:rowOff>28575</xdr:rowOff>
    </xdr:from>
    <xdr:ext cx="7524751" cy="2464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8">
              <a:extLst>
                <a:ext uri="{FF2B5EF4-FFF2-40B4-BE49-F238E27FC236}">
                  <a16:creationId xmlns:a16="http://schemas.microsoft.com/office/drawing/2014/main" id="{1667EE13-A4B7-4790-B9DA-FB5FB4236D07}"/>
                </a:ext>
              </a:extLst>
            </xdr:cNvPr>
            <xdr:cNvSpPr txBox="1"/>
          </xdr:nvSpPr>
          <xdr:spPr>
            <a:xfrm>
              <a:off x="8201023" y="609600"/>
              <a:ext cx="7524751" cy="246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C" sz="1500" b="1" i="1">
                      <a:latin typeface="Cambria Math" panose="02040503050406030204" pitchFamily="18" charset="0"/>
                    </a:rPr>
                    <m:t>𝑼𝑪</m:t>
                  </m:r>
                  <m:r>
                    <a:rPr lang="en-US" sz="150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500"/>
                <a:t> </a:t>
              </a:r>
              <a:r>
                <a:rPr lang="en-US" sz="1200">
                  <a:latin typeface="Gigi" panose="04040504061007020D02" pitchFamily="82" charset="0"/>
                </a:rPr>
                <a:t>f </a:t>
              </a:r>
              <a:r>
                <a:rPr lang="en-US" sz="1000"/>
                <a:t>(</a:t>
              </a:r>
              <a:r>
                <a:rPr lang="en-US" sz="1000">
                  <a:latin typeface="Amasis MT Pro" panose="020B0604020202020204" pitchFamily="18" charset="0"/>
                </a:rPr>
                <a:t>V</a:t>
              </a:r>
              <a:r>
                <a:rPr lang="en-US" sz="1000"/>
                <a:t>) * 15%</a:t>
              </a:r>
              <a:r>
                <a:rPr lang="en-US" sz="1000" baseline="0"/>
                <a:t>  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(IC) * 10% </a:t>
              </a:r>
              <a:r>
                <a:rPr lang="en-US" sz="1000" baseline="0"/>
                <a:t>+</a:t>
              </a:r>
              <a:r>
                <a:rPr lang="en-US" sz="10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(FC) * 10% </a:t>
              </a:r>
              <a:r>
                <a:rPr lang="en-US" sz="1000" baseline="0"/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000" baseline="0"/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(DT) * 10%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effectLst/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(DS) * 10% </a:t>
              </a:r>
              <a:r>
                <a:rPr lang="en-US" sz="10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(DD) * 10%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(DM) * 10%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(CO) * 15% 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(S) * 10% </a:t>
              </a:r>
            </a:p>
          </xdr:txBody>
        </xdr:sp>
      </mc:Choice>
      <mc:Fallback xmlns="">
        <xdr:sp macro="" textlink="">
          <xdr:nvSpPr>
            <xdr:cNvPr id="2" name="TextBox 8">
              <a:extLst>
                <a:ext uri="{FF2B5EF4-FFF2-40B4-BE49-F238E27FC236}">
                  <a16:creationId xmlns:a16="http://schemas.microsoft.com/office/drawing/2014/main" id="{1667EE13-A4B7-4790-B9DA-FB5FB4236D07}"/>
                </a:ext>
              </a:extLst>
            </xdr:cNvPr>
            <xdr:cNvSpPr txBox="1"/>
          </xdr:nvSpPr>
          <xdr:spPr>
            <a:xfrm>
              <a:off x="8201023" y="609600"/>
              <a:ext cx="7524751" cy="246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C" sz="1500" b="1" i="0">
                  <a:latin typeface="Cambria Math" panose="02040503050406030204" pitchFamily="18" charset="0"/>
                </a:rPr>
                <a:t>𝑼𝑪</a:t>
              </a:r>
              <a:r>
                <a:rPr lang="en-US" sz="1500" i="0">
                  <a:latin typeface="Cambria Math" panose="02040503050406030204" pitchFamily="18" charset="0"/>
                </a:rPr>
                <a:t>=</a:t>
              </a:r>
              <a:r>
                <a:rPr lang="en-US" sz="1500"/>
                <a:t> </a:t>
              </a:r>
              <a:r>
                <a:rPr lang="en-US" sz="1200">
                  <a:latin typeface="Gigi" panose="04040504061007020D02" pitchFamily="82" charset="0"/>
                </a:rPr>
                <a:t>f </a:t>
              </a:r>
              <a:r>
                <a:rPr lang="en-US" sz="1000"/>
                <a:t>(</a:t>
              </a:r>
              <a:r>
                <a:rPr lang="en-US" sz="1000">
                  <a:latin typeface="Amasis MT Pro" panose="020B0604020202020204" pitchFamily="18" charset="0"/>
                </a:rPr>
                <a:t>V</a:t>
              </a:r>
              <a:r>
                <a:rPr lang="en-US" sz="1000"/>
                <a:t>) * 15%</a:t>
              </a:r>
              <a:r>
                <a:rPr lang="en-US" sz="1000" baseline="0"/>
                <a:t>  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(IC) * 10% </a:t>
              </a:r>
              <a:r>
                <a:rPr lang="en-US" sz="1000" baseline="0"/>
                <a:t>+</a:t>
              </a:r>
              <a:r>
                <a:rPr lang="en-US" sz="10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(FC) * 10% </a:t>
              </a:r>
              <a:r>
                <a:rPr lang="en-US" sz="1000" baseline="0"/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000" baseline="0"/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(DT) * 10%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effectLst/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(DS) * 10% </a:t>
              </a:r>
              <a:r>
                <a:rPr lang="en-US" sz="10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(DD) * 10%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(DM) * 10%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(CO) * 15% + </a:t>
              </a:r>
              <a:r>
                <a:rPr lang="en-US" sz="12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0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(S) * 10% </a:t>
              </a:r>
            </a:p>
          </xdr:txBody>
        </xdr:sp>
      </mc:Fallback>
    </mc:AlternateContent>
    <xdr:clientData/>
  </xdr:oneCellAnchor>
  <xdr:twoCellAnchor>
    <xdr:from>
      <xdr:col>4</xdr:col>
      <xdr:colOff>219075</xdr:colOff>
      <xdr:row>3</xdr:row>
      <xdr:rowOff>295275</xdr:rowOff>
    </xdr:from>
    <xdr:to>
      <xdr:col>14</xdr:col>
      <xdr:colOff>257175</xdr:colOff>
      <xdr:row>17</xdr:row>
      <xdr:rowOff>133349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1AB1EA-AA9A-4197-A3B2-ACE210AAB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709610</xdr:colOff>
      <xdr:row>19</xdr:row>
      <xdr:rowOff>100012</xdr:rowOff>
    </xdr:from>
    <xdr:to>
      <xdr:col>8</xdr:col>
      <xdr:colOff>733610</xdr:colOff>
      <xdr:row>47</xdr:row>
      <xdr:rowOff>38100</xdr:rowOff>
    </xdr:to>
    <xdr:graphicFrame macro="">
      <xdr:nvGraphicFramePr>
        <xdr:cNvPr id="2" name="Gráfico 6">
          <a:extLst>
            <a:ext uri="{FF2B5EF4-FFF2-40B4-BE49-F238E27FC236}">
              <a16:creationId xmlns:a16="http://schemas.microsoft.com/office/drawing/2014/main" id="{4899B2B0-0B09-42B4-B759-60C3BC21C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276225</xdr:colOff>
      <xdr:row>17</xdr:row>
      <xdr:rowOff>57150</xdr:rowOff>
    </xdr:from>
    <xdr:to>
      <xdr:col>4</xdr:col>
      <xdr:colOff>180975</xdr:colOff>
      <xdr:row>19</xdr:row>
      <xdr:rowOff>133350</xdr:rowOff>
    </xdr:to>
    <xdr:sp macro="" textlink="">
      <xdr:nvSpPr>
        <xdr:cNvPr id="3" name="CuadroTexto 7">
          <a:extLst>
            <a:ext uri="{FF2B5EF4-FFF2-40B4-BE49-F238E27FC236}">
              <a16:creationId xmlns:a16="http://schemas.microsoft.com/office/drawing/2014/main" id="{58A7CEE6-55A1-40C2-ACBD-9AC8B238BEBE}"/>
            </a:ext>
          </a:extLst>
        </xdr:cNvPr>
        <xdr:cNvSpPr txBox="1"/>
      </xdr:nvSpPr>
      <xdr:spPr>
        <a:xfrm>
          <a:off x="1781175" y="3105150"/>
          <a:ext cx="226695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 b="1"/>
            <a:t>Territorio con Limitación </a:t>
          </a:r>
          <a:r>
            <a:rPr lang="es-EC" sz="1100" b="1" baseline="0"/>
            <a:t>II</a:t>
          </a:r>
        </a:p>
        <a:p>
          <a:pPr algn="ctr"/>
          <a:r>
            <a:rPr lang="es-EC" sz="1100" b="1" baseline="0"/>
            <a:t>(UC </a:t>
          </a:r>
          <a:r>
            <a:rPr lang="es-EC" sz="1100" b="1" baseline="0">
              <a:latin typeface="Calibri" panose="020F0502020204030204" pitchFamily="34" charset="0"/>
              <a:cs typeface="Calibri" panose="020F0502020204030204" pitchFamily="34" charset="0"/>
            </a:rPr>
            <a:t>˃ 1; CT ˂ 1)</a:t>
          </a:r>
          <a:endParaRPr lang="es-EC" sz="1100" b="1"/>
        </a:p>
      </xdr:txBody>
    </xdr:sp>
    <xdr:clientData/>
  </xdr:twoCellAnchor>
  <xdr:twoCellAnchor>
    <xdr:from>
      <xdr:col>5</xdr:col>
      <xdr:colOff>47624</xdr:colOff>
      <xdr:row>17</xdr:row>
      <xdr:rowOff>66675</xdr:rowOff>
    </xdr:from>
    <xdr:to>
      <xdr:col>8</xdr:col>
      <xdr:colOff>323850</xdr:colOff>
      <xdr:row>19</xdr:row>
      <xdr:rowOff>142874</xdr:rowOff>
    </xdr:to>
    <xdr:sp macro="" textlink="">
      <xdr:nvSpPr>
        <xdr:cNvPr id="4" name="CuadroTexto 8">
          <a:extLst>
            <a:ext uri="{FF2B5EF4-FFF2-40B4-BE49-F238E27FC236}">
              <a16:creationId xmlns:a16="http://schemas.microsoft.com/office/drawing/2014/main" id="{8101C81A-8AC6-4C3B-8059-A360F324F4C8}"/>
            </a:ext>
          </a:extLst>
        </xdr:cNvPr>
        <xdr:cNvSpPr txBox="1"/>
      </xdr:nvSpPr>
      <xdr:spPr>
        <a:xfrm>
          <a:off x="4676774" y="3114675"/>
          <a:ext cx="2562226" cy="457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 b="1"/>
            <a:t>Territorio a Priorizar para el Turismo </a:t>
          </a:r>
          <a:r>
            <a:rPr lang="es-EC" sz="1100" b="1" baseline="0"/>
            <a:t>IV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(CT ˃ 1; UC ˃ 1)</a:t>
          </a:r>
          <a:endParaRPr lang="es-EC">
            <a:effectLst/>
          </a:endParaRPr>
        </a:p>
      </xdr:txBody>
    </xdr:sp>
    <xdr:clientData/>
  </xdr:twoCellAnchor>
  <xdr:twoCellAnchor>
    <xdr:from>
      <xdr:col>1</xdr:col>
      <xdr:colOff>276225</xdr:colOff>
      <xdr:row>44</xdr:row>
      <xdr:rowOff>66675</xdr:rowOff>
    </xdr:from>
    <xdr:to>
      <xdr:col>4</xdr:col>
      <xdr:colOff>133350</xdr:colOff>
      <xdr:row>46</xdr:row>
      <xdr:rowOff>20638</xdr:rowOff>
    </xdr:to>
    <xdr:sp macro="" textlink="">
      <xdr:nvSpPr>
        <xdr:cNvPr id="5" name="CuadroTexto 8">
          <a:extLst>
            <a:ext uri="{FF2B5EF4-FFF2-40B4-BE49-F238E27FC236}">
              <a16:creationId xmlns:a16="http://schemas.microsoft.com/office/drawing/2014/main" id="{165C223E-C536-42DE-9957-F552A7659B63}"/>
            </a:ext>
          </a:extLst>
        </xdr:cNvPr>
        <xdr:cNvSpPr txBox="1"/>
      </xdr:nvSpPr>
      <xdr:spPr>
        <a:xfrm>
          <a:off x="1781175" y="8258175"/>
          <a:ext cx="2219325" cy="3349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C" sz="1100" b="1"/>
            <a:t>Territorio No Apto para el Turismo</a:t>
          </a:r>
          <a:endParaRPr lang="es-EC" sz="1100" b="1" baseline="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(UC ˂ 1; CT ˂ 1)</a:t>
          </a:r>
          <a:endParaRPr lang="es-EC">
            <a:effectLst/>
          </a:endParaRPr>
        </a:p>
      </xdr:txBody>
    </xdr:sp>
    <xdr:clientData/>
  </xdr:twoCellAnchor>
  <xdr:twoCellAnchor>
    <xdr:from>
      <xdr:col>5</xdr:col>
      <xdr:colOff>304800</xdr:colOff>
      <xdr:row>44</xdr:row>
      <xdr:rowOff>57150</xdr:rowOff>
    </xdr:from>
    <xdr:to>
      <xdr:col>8</xdr:col>
      <xdr:colOff>257175</xdr:colOff>
      <xdr:row>46</xdr:row>
      <xdr:rowOff>0</xdr:rowOff>
    </xdr:to>
    <xdr:sp macro="" textlink="">
      <xdr:nvSpPr>
        <xdr:cNvPr id="6" name="CuadroTexto 8">
          <a:extLst>
            <a:ext uri="{FF2B5EF4-FFF2-40B4-BE49-F238E27FC236}">
              <a16:creationId xmlns:a16="http://schemas.microsoft.com/office/drawing/2014/main" id="{32A79336-26E3-4B41-A62F-C743190D289C}"/>
            </a:ext>
          </a:extLst>
        </xdr:cNvPr>
        <xdr:cNvSpPr txBox="1"/>
      </xdr:nvSpPr>
      <xdr:spPr>
        <a:xfrm>
          <a:off x="4933950" y="8248650"/>
          <a:ext cx="22383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C" sz="1100" b="1"/>
            <a:t>Territorio  con Limitación </a:t>
          </a:r>
          <a:r>
            <a:rPr lang="es-EC" sz="1100" b="1" baseline="0"/>
            <a:t>III</a:t>
          </a:r>
        </a:p>
        <a:p>
          <a:pPr algn="ctr"/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(UC ˂ 1; CT </a:t>
          </a:r>
          <a:r>
            <a:rPr lang="es-EC" sz="1100" b="1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˃ </a:t>
          </a: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  <a:endParaRPr lang="es-EC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D\Desktop\Universidades\Asignaturas%20ESPOL\Fundamentos%20de%20Planificaci&#243;n%20Tur&#237;stica\Matriz%20de%20Valorizaci&#243;n%20de%20Potencialidad%20Tur&#237;stica.xlsx" TargetMode="External"/><Relationship Id="rId1" Type="http://schemas.openxmlformats.org/officeDocument/2006/relationships/externalLinkPath" Target="/Users/JD/Desktop/Universidades/Asignaturas%20ESPOL/Fundamentos%20de%20Planificaci&#243;n%20Tur&#237;stica/Matriz%20de%20Valorizaci&#243;n%20de%20Potencialidad%20Tur&#237;st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N- Zonas de Litoral"/>
      <sheetName val="RN- Zonas de Montaña"/>
      <sheetName val="RN- Áreas Naturales Protegidas"/>
      <sheetName val="RN- Cuerpos de Agua"/>
      <sheetName val="RC- Artístico Monumental"/>
      <sheetName val="RC- Nacionalidades y Pueblos"/>
      <sheetName val="RC- Expresiones Contemporáneas"/>
      <sheetName val="PT- Alojamiento"/>
      <sheetName val="PT- Restauración"/>
      <sheetName val="PT- Intermediación"/>
      <sheetName val="PT- Transportación Turística"/>
      <sheetName val="PT- Interpretación Turística"/>
      <sheetName val="TT- Productos Turísticos"/>
      <sheetName val="I- Infraestructura"/>
      <sheetName val="DT- Afluencia Turística "/>
      <sheetName val="DT- Marketing Turístico"/>
      <sheetName val="ST- Superestructura del Turismo"/>
      <sheetName val="Análisis Componentes FN"/>
      <sheetName val="Análisis Componentes FX"/>
      <sheetName val="Gráfica Resultan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A7" t="str">
            <v>Sitio 2</v>
          </cell>
        </row>
        <row r="8">
          <cell r="A8" t="str">
            <v>Sitio 3</v>
          </cell>
        </row>
        <row r="9">
          <cell r="A9" t="str">
            <v>Sitio 4</v>
          </cell>
        </row>
        <row r="10">
          <cell r="A10" t="str">
            <v>Sitio 5</v>
          </cell>
        </row>
        <row r="11">
          <cell r="A11" t="str">
            <v>Sitio 6</v>
          </cell>
        </row>
        <row r="12">
          <cell r="A12" t="str">
            <v>Sitio 7</v>
          </cell>
        </row>
        <row r="13">
          <cell r="A13" t="str">
            <v>Sitio 8</v>
          </cell>
        </row>
        <row r="14">
          <cell r="A14" t="str">
            <v>Sitio 9</v>
          </cell>
        </row>
        <row r="15">
          <cell r="A15" t="str">
            <v>Sitio 10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C791-DF27-4D68-AA4A-C0B9344DAB42}">
  <dimension ref="A2:E17"/>
  <sheetViews>
    <sheetView workbookViewId="0">
      <selection activeCell="E6" sqref="E6:E15"/>
    </sheetView>
  </sheetViews>
  <sheetFormatPr baseColWidth="10" defaultRowHeight="15" x14ac:dyDescent="0.25"/>
  <cols>
    <col min="1" max="1" width="35.85546875" style="4" bestFit="1" customWidth="1"/>
    <col min="2" max="2" width="30.7109375" style="4" customWidth="1"/>
    <col min="3" max="3" width="35.7109375" style="4" customWidth="1"/>
    <col min="4" max="4" width="30.7109375" style="4" customWidth="1"/>
    <col min="5" max="5" width="18.85546875" style="4" customWidth="1"/>
    <col min="6" max="16384" width="11.42578125" style="4"/>
  </cols>
  <sheetData>
    <row r="2" spans="1:5" x14ac:dyDescent="0.25">
      <c r="A2" s="4" t="s">
        <v>148</v>
      </c>
    </row>
    <row r="4" spans="1:5" x14ac:dyDescent="0.25">
      <c r="A4" s="35" t="s">
        <v>13</v>
      </c>
      <c r="B4" s="37" t="s">
        <v>14</v>
      </c>
      <c r="C4" s="37"/>
      <c r="D4" s="37"/>
      <c r="E4" s="35" t="s">
        <v>15</v>
      </c>
    </row>
    <row r="5" spans="1:5" x14ac:dyDescent="0.25">
      <c r="A5" s="36"/>
      <c r="B5" s="5">
        <v>0</v>
      </c>
      <c r="C5" s="5">
        <v>1</v>
      </c>
      <c r="D5" s="5">
        <v>2</v>
      </c>
      <c r="E5" s="36"/>
    </row>
    <row r="6" spans="1:5" ht="45" x14ac:dyDescent="0.25">
      <c r="A6" s="6" t="s">
        <v>30</v>
      </c>
      <c r="B6" s="7" t="s">
        <v>31</v>
      </c>
      <c r="C6" s="7" t="s">
        <v>35</v>
      </c>
      <c r="D6" s="7" t="s">
        <v>32</v>
      </c>
      <c r="E6" s="32" t="s">
        <v>128</v>
      </c>
    </row>
    <row r="7" spans="1:5" ht="45" x14ac:dyDescent="0.25">
      <c r="A7" s="6" t="s">
        <v>9</v>
      </c>
      <c r="B7" s="7" t="s">
        <v>33</v>
      </c>
      <c r="C7" s="7" t="s">
        <v>34</v>
      </c>
      <c r="D7" s="7" t="s">
        <v>36</v>
      </c>
      <c r="E7" s="33"/>
    </row>
    <row r="8" spans="1:5" ht="60" x14ac:dyDescent="0.25">
      <c r="A8" s="6" t="s">
        <v>10</v>
      </c>
      <c r="B8" s="8" t="s">
        <v>37</v>
      </c>
      <c r="C8" s="8" t="s">
        <v>38</v>
      </c>
      <c r="D8" s="8" t="s">
        <v>39</v>
      </c>
      <c r="E8" s="33"/>
    </row>
    <row r="9" spans="1:5" ht="45" x14ac:dyDescent="0.25">
      <c r="A9" s="6" t="s">
        <v>11</v>
      </c>
      <c r="B9" s="7" t="s">
        <v>40</v>
      </c>
      <c r="C9" s="7" t="s">
        <v>41</v>
      </c>
      <c r="D9" s="7" t="s">
        <v>42</v>
      </c>
      <c r="E9" s="33"/>
    </row>
    <row r="10" spans="1:5" ht="63" customHeight="1" x14ac:dyDescent="0.25">
      <c r="A10" s="6" t="s">
        <v>144</v>
      </c>
      <c r="B10" s="7" t="s">
        <v>145</v>
      </c>
      <c r="C10" s="7" t="s">
        <v>147</v>
      </c>
      <c r="D10" s="7" t="s">
        <v>146</v>
      </c>
      <c r="E10" s="33"/>
    </row>
    <row r="11" spans="1:5" ht="45" x14ac:dyDescent="0.25">
      <c r="A11" s="6" t="s">
        <v>1</v>
      </c>
      <c r="B11" s="7" t="s">
        <v>44</v>
      </c>
      <c r="C11" s="7" t="s">
        <v>45</v>
      </c>
      <c r="D11" s="7" t="s">
        <v>43</v>
      </c>
      <c r="E11" s="33"/>
    </row>
    <row r="12" spans="1:5" ht="60" x14ac:dyDescent="0.25">
      <c r="A12" s="6" t="s">
        <v>2</v>
      </c>
      <c r="B12" s="7" t="s">
        <v>47</v>
      </c>
      <c r="C12" s="7" t="s">
        <v>48</v>
      </c>
      <c r="D12" s="7" t="s">
        <v>46</v>
      </c>
      <c r="E12" s="33"/>
    </row>
    <row r="13" spans="1:5" ht="60" x14ac:dyDescent="0.25">
      <c r="A13" s="6" t="s">
        <v>129</v>
      </c>
      <c r="B13" s="7" t="s">
        <v>130</v>
      </c>
      <c r="C13" s="7" t="s">
        <v>132</v>
      </c>
      <c r="D13" s="7" t="s">
        <v>131</v>
      </c>
      <c r="E13" s="33"/>
    </row>
    <row r="14" spans="1:5" ht="60" x14ac:dyDescent="0.25">
      <c r="A14" s="6" t="s">
        <v>5</v>
      </c>
      <c r="B14" s="7" t="s">
        <v>50</v>
      </c>
      <c r="C14" s="7" t="s">
        <v>51</v>
      </c>
      <c r="D14" s="7" t="s">
        <v>49</v>
      </c>
      <c r="E14" s="33"/>
    </row>
    <row r="15" spans="1:5" ht="63" customHeight="1" x14ac:dyDescent="0.25">
      <c r="A15" s="6" t="s">
        <v>137</v>
      </c>
      <c r="B15" s="7" t="s">
        <v>138</v>
      </c>
      <c r="C15" s="7" t="s">
        <v>140</v>
      </c>
      <c r="D15" s="7" t="s">
        <v>139</v>
      </c>
      <c r="E15" s="34"/>
    </row>
    <row r="16" spans="1:5" ht="60" x14ac:dyDescent="0.25">
      <c r="A16" s="6" t="s">
        <v>27</v>
      </c>
      <c r="B16" s="7" t="s">
        <v>52</v>
      </c>
      <c r="C16" s="7" t="s">
        <v>53</v>
      </c>
      <c r="D16" s="7" t="s">
        <v>54</v>
      </c>
      <c r="E16" s="32" t="s">
        <v>58</v>
      </c>
    </row>
    <row r="17" spans="1:5" ht="75" x14ac:dyDescent="0.25">
      <c r="A17" s="9" t="s">
        <v>28</v>
      </c>
      <c r="B17" s="10" t="s">
        <v>55</v>
      </c>
      <c r="C17" s="11" t="s">
        <v>56</v>
      </c>
      <c r="D17" s="11" t="s">
        <v>57</v>
      </c>
      <c r="E17" s="34"/>
    </row>
  </sheetData>
  <sheetProtection algorithmName="SHA-512" hashValue="hrMzCRGO9ZQS9kloLWwBHdgP0ZPIdbALCq8Gt3/95Y4nEqOx9nzaKWIVrh51OHekGqvJbC74bSTScSO245mC6Q==" saltValue="T3YrhItej+IEkrGyfDc7bg==" spinCount="100000" sheet="1" objects="1" scenarios="1" deleteColumns="0" deleteRows="0"/>
  <mergeCells count="5">
    <mergeCell ref="E6:E15"/>
    <mergeCell ref="E16:E17"/>
    <mergeCell ref="E4:E5"/>
    <mergeCell ref="A4:A5"/>
    <mergeCell ref="B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F522-D98E-4195-ADC7-D45235FD6B74}">
  <dimension ref="A2:E14"/>
  <sheetViews>
    <sheetView workbookViewId="0">
      <selection activeCell="D7" sqref="D7"/>
    </sheetView>
  </sheetViews>
  <sheetFormatPr baseColWidth="10" defaultRowHeight="15" x14ac:dyDescent="0.25"/>
  <cols>
    <col min="1" max="1" width="42.5703125" style="4" customWidth="1"/>
    <col min="2" max="4" width="25.7109375" style="4" customWidth="1"/>
    <col min="5" max="5" width="20.140625" style="4" customWidth="1"/>
    <col min="6" max="16384" width="11.42578125" style="4"/>
  </cols>
  <sheetData>
    <row r="2" spans="1:5" x14ac:dyDescent="0.25">
      <c r="A2" s="4" t="s">
        <v>148</v>
      </c>
    </row>
    <row r="4" spans="1:5" x14ac:dyDescent="0.25">
      <c r="A4" s="35" t="s">
        <v>13</v>
      </c>
      <c r="B4" s="37" t="s">
        <v>0</v>
      </c>
      <c r="C4" s="37"/>
      <c r="D4" s="37"/>
      <c r="E4" s="35" t="s">
        <v>15</v>
      </c>
    </row>
    <row r="5" spans="1:5" x14ac:dyDescent="0.25">
      <c r="A5" s="36"/>
      <c r="B5" s="5">
        <v>0</v>
      </c>
      <c r="C5" s="5">
        <v>1</v>
      </c>
      <c r="D5" s="5">
        <v>2</v>
      </c>
      <c r="E5" s="36"/>
    </row>
    <row r="6" spans="1:5" ht="75" x14ac:dyDescent="0.25">
      <c r="A6" s="6" t="s">
        <v>61</v>
      </c>
      <c r="B6" s="6" t="s">
        <v>62</v>
      </c>
      <c r="C6" s="6" t="s">
        <v>63</v>
      </c>
      <c r="D6" s="3" t="s">
        <v>150</v>
      </c>
      <c r="E6" s="32" t="s">
        <v>64</v>
      </c>
    </row>
    <row r="7" spans="1:5" ht="75" x14ac:dyDescent="0.25">
      <c r="A7" s="6" t="s">
        <v>7</v>
      </c>
      <c r="B7" s="6" t="s">
        <v>65</v>
      </c>
      <c r="C7" s="6" t="s">
        <v>66</v>
      </c>
      <c r="D7" s="6" t="s">
        <v>67</v>
      </c>
      <c r="E7" s="33"/>
    </row>
    <row r="8" spans="1:5" ht="90" x14ac:dyDescent="0.25">
      <c r="A8" s="6" t="s">
        <v>8</v>
      </c>
      <c r="B8" s="6" t="s">
        <v>69</v>
      </c>
      <c r="C8" s="6" t="s">
        <v>70</v>
      </c>
      <c r="D8" s="6" t="s">
        <v>68</v>
      </c>
      <c r="E8" s="33"/>
    </row>
    <row r="9" spans="1:5" ht="90" x14ac:dyDescent="0.25">
      <c r="A9" s="9" t="s">
        <v>29</v>
      </c>
      <c r="B9" s="9" t="s">
        <v>71</v>
      </c>
      <c r="C9" s="9" t="s">
        <v>72</v>
      </c>
      <c r="D9" s="9" t="s">
        <v>73</v>
      </c>
      <c r="E9" s="33"/>
    </row>
    <row r="10" spans="1:5" ht="75" x14ac:dyDescent="0.25">
      <c r="A10" s="6" t="s">
        <v>4</v>
      </c>
      <c r="B10" s="9" t="s">
        <v>74</v>
      </c>
      <c r="C10" s="9" t="s">
        <v>75</v>
      </c>
      <c r="D10" s="9" t="s">
        <v>76</v>
      </c>
      <c r="E10" s="33"/>
    </row>
    <row r="11" spans="1:5" ht="75" x14ac:dyDescent="0.25">
      <c r="A11" s="6" t="s">
        <v>77</v>
      </c>
      <c r="B11" s="9" t="s">
        <v>78</v>
      </c>
      <c r="C11" s="9" t="s">
        <v>79</v>
      </c>
      <c r="D11" s="9" t="s">
        <v>80</v>
      </c>
      <c r="E11" s="33"/>
    </row>
    <row r="12" spans="1:5" ht="75" x14ac:dyDescent="0.25">
      <c r="A12" s="6" t="s">
        <v>3</v>
      </c>
      <c r="B12" s="9" t="s">
        <v>81</v>
      </c>
      <c r="C12" s="9" t="s">
        <v>82</v>
      </c>
      <c r="D12" s="9" t="s">
        <v>83</v>
      </c>
      <c r="E12" s="33"/>
    </row>
    <row r="13" spans="1:5" ht="75" x14ac:dyDescent="0.25">
      <c r="A13" s="6" t="s">
        <v>6</v>
      </c>
      <c r="B13" s="6" t="s">
        <v>87</v>
      </c>
      <c r="C13" s="6" t="s">
        <v>88</v>
      </c>
      <c r="D13" s="6" t="s">
        <v>89</v>
      </c>
      <c r="E13" s="33"/>
    </row>
    <row r="14" spans="1:5" ht="75" x14ac:dyDescent="0.25">
      <c r="A14" s="9" t="s">
        <v>12</v>
      </c>
      <c r="B14" s="9" t="s">
        <v>84</v>
      </c>
      <c r="C14" s="9" t="s">
        <v>85</v>
      </c>
      <c r="D14" s="9" t="s">
        <v>86</v>
      </c>
      <c r="E14" s="34"/>
    </row>
  </sheetData>
  <sheetProtection algorithmName="SHA-512" hashValue="adJZoRvPSdeZzc5El6jyHEPna6vCsp79IMPCgRp8iYplgPqd1nby0zwbe3HqnT0UPTRZVCH21efEzRxusWS4SA==" saltValue="xEpzsHvNaGP33Mj3e138PQ==" spinCount="100000" sheet="1" objects="1" scenarios="1" deleteColumns="0" deleteRows="0"/>
  <mergeCells count="4">
    <mergeCell ref="B4:D4"/>
    <mergeCell ref="E6:E14"/>
    <mergeCell ref="E4:E5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34E7-5E1F-4DA8-B98F-68EFAFDFC6BA}">
  <dimension ref="A2:F20"/>
  <sheetViews>
    <sheetView tabSelected="1" topLeftCell="A2" workbookViewId="0">
      <selection activeCell="C12" sqref="C12"/>
    </sheetView>
  </sheetViews>
  <sheetFormatPr baseColWidth="10" defaultRowHeight="15" x14ac:dyDescent="0.25"/>
  <cols>
    <col min="1" max="1" width="66.28515625" style="1" customWidth="1"/>
    <col min="2" max="4" width="15.7109375" style="1" customWidth="1"/>
    <col min="5" max="5" width="8" style="1" customWidth="1"/>
    <col min="6" max="16384" width="11.42578125" style="1"/>
  </cols>
  <sheetData>
    <row r="2" spans="1:6" x14ac:dyDescent="0.25">
      <c r="A2" s="4" t="s">
        <v>148</v>
      </c>
    </row>
    <row r="3" spans="1:6" ht="15.75" thickBot="1" x14ac:dyDescent="0.3"/>
    <row r="4" spans="1:6" ht="30.75" thickBot="1" x14ac:dyDescent="0.3">
      <c r="A4" s="17" t="s">
        <v>13</v>
      </c>
      <c r="B4" s="18" t="s">
        <v>90</v>
      </c>
      <c r="C4" s="18" t="s">
        <v>91</v>
      </c>
      <c r="D4" s="19" t="s">
        <v>59</v>
      </c>
    </row>
    <row r="5" spans="1:6" ht="24.95" customHeight="1" x14ac:dyDescent="0.25">
      <c r="A5" s="20" t="s">
        <v>102</v>
      </c>
      <c r="B5" s="21">
        <v>0.1</v>
      </c>
      <c r="C5" s="12"/>
      <c r="D5" s="23">
        <f>C5*B5</f>
        <v>0</v>
      </c>
      <c r="E5" s="13"/>
      <c r="F5" s="1" t="s">
        <v>109</v>
      </c>
    </row>
    <row r="6" spans="1:6" ht="36.75" customHeight="1" x14ac:dyDescent="0.25">
      <c r="A6" s="6" t="s">
        <v>141</v>
      </c>
      <c r="B6" s="22">
        <v>0.1</v>
      </c>
      <c r="C6" s="14"/>
      <c r="D6" s="23">
        <f t="shared" ref="D6:D16" si="0">C6*B6</f>
        <v>0</v>
      </c>
      <c r="E6" s="38"/>
      <c r="F6" s="1" t="s">
        <v>110</v>
      </c>
    </row>
    <row r="7" spans="1:6" ht="24.95" customHeight="1" x14ac:dyDescent="0.25">
      <c r="A7" s="6" t="s">
        <v>103</v>
      </c>
      <c r="B7" s="22">
        <v>0.05</v>
      </c>
      <c r="C7" s="14"/>
      <c r="D7" s="23">
        <f t="shared" si="0"/>
        <v>0</v>
      </c>
      <c r="E7" s="38"/>
      <c r="F7" s="1" t="s">
        <v>111</v>
      </c>
    </row>
    <row r="8" spans="1:6" ht="24.95" customHeight="1" x14ac:dyDescent="0.25">
      <c r="A8" s="6" t="s">
        <v>104</v>
      </c>
      <c r="B8" s="22">
        <v>0.1</v>
      </c>
      <c r="C8" s="14"/>
      <c r="D8" s="23">
        <f t="shared" si="0"/>
        <v>0</v>
      </c>
      <c r="E8" s="38"/>
      <c r="F8" s="1" t="s">
        <v>112</v>
      </c>
    </row>
    <row r="9" spans="1:6" ht="24.95" customHeight="1" x14ac:dyDescent="0.25">
      <c r="A9" s="6" t="s">
        <v>142</v>
      </c>
      <c r="B9" s="22">
        <v>0.05</v>
      </c>
      <c r="C9" s="14"/>
      <c r="D9" s="24">
        <f t="shared" si="0"/>
        <v>0</v>
      </c>
      <c r="E9" s="38"/>
      <c r="F9" s="1" t="s">
        <v>143</v>
      </c>
    </row>
    <row r="10" spans="1:6" ht="24.95" customHeight="1" x14ac:dyDescent="0.25">
      <c r="A10" s="6" t="s">
        <v>105</v>
      </c>
      <c r="B10" s="22">
        <v>0.05</v>
      </c>
      <c r="C10" s="14"/>
      <c r="D10" s="24">
        <f t="shared" si="0"/>
        <v>0</v>
      </c>
      <c r="E10" s="38"/>
      <c r="F10" s="1" t="s">
        <v>113</v>
      </c>
    </row>
    <row r="11" spans="1:6" ht="24.95" customHeight="1" x14ac:dyDescent="0.25">
      <c r="A11" s="6" t="s">
        <v>126</v>
      </c>
      <c r="B11" s="22">
        <v>0.05</v>
      </c>
      <c r="C11" s="14"/>
      <c r="D11" s="24">
        <f t="shared" si="0"/>
        <v>0</v>
      </c>
      <c r="E11" s="38"/>
      <c r="F11" s="1" t="s">
        <v>127</v>
      </c>
    </row>
    <row r="12" spans="1:6" ht="24.95" customHeight="1" x14ac:dyDescent="0.25">
      <c r="A12" s="6" t="s">
        <v>133</v>
      </c>
      <c r="B12" s="22">
        <v>0.1</v>
      </c>
      <c r="C12" s="14"/>
      <c r="D12" s="24">
        <f t="shared" ref="D12" si="1">C12*B12</f>
        <v>0</v>
      </c>
      <c r="E12" s="38"/>
      <c r="F12" s="1" t="s">
        <v>134</v>
      </c>
    </row>
    <row r="13" spans="1:6" ht="24.95" customHeight="1" x14ac:dyDescent="0.25">
      <c r="A13" s="6" t="s">
        <v>106</v>
      </c>
      <c r="B13" s="22">
        <v>0.1</v>
      </c>
      <c r="C13" s="14"/>
      <c r="D13" s="24">
        <f t="shared" si="0"/>
        <v>0</v>
      </c>
      <c r="E13" s="38"/>
      <c r="F13" s="1" t="s">
        <v>115</v>
      </c>
    </row>
    <row r="14" spans="1:6" ht="24.95" customHeight="1" x14ac:dyDescent="0.25">
      <c r="A14" s="9" t="s">
        <v>135</v>
      </c>
      <c r="B14" s="22">
        <v>0.1</v>
      </c>
      <c r="C14" s="14"/>
      <c r="D14" s="24">
        <f t="shared" si="0"/>
        <v>0</v>
      </c>
      <c r="E14" s="38"/>
      <c r="F14" s="1" t="s">
        <v>136</v>
      </c>
    </row>
    <row r="15" spans="1:6" ht="24.95" customHeight="1" x14ac:dyDescent="0.25">
      <c r="A15" s="20" t="s">
        <v>107</v>
      </c>
      <c r="B15" s="22">
        <v>0.1</v>
      </c>
      <c r="C15" s="14"/>
      <c r="D15" s="25">
        <f t="shared" si="0"/>
        <v>0</v>
      </c>
      <c r="E15" s="38"/>
      <c r="F15" s="1" t="s">
        <v>116</v>
      </c>
    </row>
    <row r="16" spans="1:6" ht="34.5" customHeight="1" x14ac:dyDescent="0.25">
      <c r="A16" s="27" t="s">
        <v>108</v>
      </c>
      <c r="B16" s="28">
        <v>0.1</v>
      </c>
      <c r="C16" s="15"/>
      <c r="D16" s="25">
        <f t="shared" si="0"/>
        <v>0</v>
      </c>
      <c r="F16" s="1" t="s">
        <v>117</v>
      </c>
    </row>
    <row r="17" spans="1:4" x14ac:dyDescent="0.25">
      <c r="A17" s="39" t="s">
        <v>92</v>
      </c>
      <c r="B17" s="39"/>
      <c r="C17" s="39"/>
      <c r="D17" s="26">
        <f>SUM(D5:D16)</f>
        <v>0</v>
      </c>
    </row>
    <row r="18" spans="1:4" x14ac:dyDescent="0.25">
      <c r="D18" s="4"/>
    </row>
    <row r="19" spans="1:4" x14ac:dyDescent="0.25">
      <c r="B19" s="16">
        <f>SUM(B5:B16)</f>
        <v>0.99999999999999989</v>
      </c>
    </row>
    <row r="20" spans="1:4" x14ac:dyDescent="0.25">
      <c r="B20" s="16"/>
    </row>
  </sheetData>
  <mergeCells count="2">
    <mergeCell ref="E6:E15"/>
    <mergeCell ref="A17:C17"/>
  </mergeCells>
  <conditionalFormatting sqref="C5:C16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D5:D8">
    <cfRule type="iconSet" priority="10">
      <iconSet iconSet="3TrafficLights2">
        <cfvo type="percent" val="0"/>
        <cfvo type="num" val="0.1"/>
        <cfvo type="num" val="0.2"/>
      </iconSet>
    </cfRule>
  </conditionalFormatting>
  <conditionalFormatting sqref="D9">
    <cfRule type="iconSet" priority="4">
      <iconSet iconSet="3TrafficLights2">
        <cfvo type="percent" val="0"/>
        <cfvo type="num" val="0.05"/>
        <cfvo type="num" val="0.1"/>
      </iconSet>
    </cfRule>
  </conditionalFormatting>
  <conditionalFormatting sqref="D10:D11">
    <cfRule type="iconSet" priority="7">
      <iconSet iconSet="3TrafficLights2">
        <cfvo type="percent" val="0"/>
        <cfvo type="num" val="0.05"/>
        <cfvo type="num" val="0.1"/>
      </iconSet>
    </cfRule>
  </conditionalFormatting>
  <conditionalFormatting sqref="D12:D13">
    <cfRule type="iconSet" priority="5">
      <iconSet iconSet="3TrafficLights2">
        <cfvo type="percent" val="0"/>
        <cfvo type="num" val="0.15"/>
        <cfvo type="num" val="0.3"/>
      </iconSet>
    </cfRule>
  </conditionalFormatting>
  <conditionalFormatting sqref="D14">
    <cfRule type="iconSet" priority="6">
      <iconSet iconSet="3TrafficLights2">
        <cfvo type="percent" val="0"/>
        <cfvo type="num" val="0.05"/>
        <cfvo type="num" val="0.1"/>
      </iconSet>
    </cfRule>
  </conditionalFormatting>
  <conditionalFormatting sqref="D15:D16">
    <cfRule type="iconSet" priority="8">
      <iconSet iconSet="3TrafficLights2">
        <cfvo type="percent" val="0"/>
        <cfvo type="num" val="0.1"/>
        <cfvo type="num" val="0.2"/>
      </iconSet>
    </cfRule>
  </conditionalFormatting>
  <conditionalFormatting sqref="D17">
    <cfRule type="iconSet" priority="1">
      <iconSet iconSet="3TrafficLights2">
        <cfvo type="percent" val="0"/>
        <cfvo type="num" val="1"/>
        <cfvo type="num" val="2"/>
      </iconSet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F8EA-0850-405A-8058-0C536E7184A9}">
  <dimension ref="A2:F16"/>
  <sheetViews>
    <sheetView topLeftCell="A3" workbookViewId="0">
      <selection activeCell="C5" sqref="C5:C7"/>
    </sheetView>
  </sheetViews>
  <sheetFormatPr baseColWidth="10" defaultRowHeight="15" x14ac:dyDescent="0.25"/>
  <cols>
    <col min="1" max="1" width="72.28515625" style="1" customWidth="1"/>
    <col min="2" max="4" width="15.7109375" style="1" customWidth="1"/>
    <col min="5" max="5" width="6.5703125" style="1" customWidth="1"/>
    <col min="6" max="16384" width="11.42578125" style="1"/>
  </cols>
  <sheetData>
    <row r="2" spans="1:6" x14ac:dyDescent="0.25">
      <c r="A2" s="4" t="s">
        <v>148</v>
      </c>
    </row>
    <row r="3" spans="1:6" ht="15.75" thickBot="1" x14ac:dyDescent="0.3"/>
    <row r="4" spans="1:6" ht="30.75" thickBot="1" x14ac:dyDescent="0.3">
      <c r="A4" s="17" t="s">
        <v>13</v>
      </c>
      <c r="B4" s="18" t="s">
        <v>90</v>
      </c>
      <c r="C4" s="18" t="s">
        <v>91</v>
      </c>
      <c r="D4" s="19" t="s">
        <v>59</v>
      </c>
    </row>
    <row r="5" spans="1:6" ht="24.95" customHeight="1" x14ac:dyDescent="0.25">
      <c r="A5" s="20" t="s">
        <v>93</v>
      </c>
      <c r="B5" s="21">
        <v>0.15</v>
      </c>
      <c r="C5" s="12"/>
      <c r="D5" s="23">
        <f>C5*B5</f>
        <v>0</v>
      </c>
      <c r="E5" s="13"/>
      <c r="F5" s="1" t="s">
        <v>118</v>
      </c>
    </row>
    <row r="6" spans="1:6" ht="24.95" customHeight="1" x14ac:dyDescent="0.25">
      <c r="A6" s="6" t="s">
        <v>94</v>
      </c>
      <c r="B6" s="22">
        <v>0.1</v>
      </c>
      <c r="C6" s="14"/>
      <c r="D6" s="24">
        <f t="shared" ref="D6:D13" si="0">C6*B6</f>
        <v>0</v>
      </c>
      <c r="E6" s="38"/>
      <c r="F6" s="1" t="s">
        <v>119</v>
      </c>
    </row>
    <row r="7" spans="1:6" ht="24.95" customHeight="1" x14ac:dyDescent="0.25">
      <c r="A7" s="6" t="s">
        <v>95</v>
      </c>
      <c r="B7" s="22">
        <v>0.1</v>
      </c>
      <c r="C7" s="14"/>
      <c r="D7" s="24">
        <f t="shared" si="0"/>
        <v>0</v>
      </c>
      <c r="E7" s="38"/>
      <c r="F7" s="1" t="s">
        <v>120</v>
      </c>
    </row>
    <row r="8" spans="1:6" ht="24.95" customHeight="1" x14ac:dyDescent="0.25">
      <c r="A8" s="9" t="s">
        <v>101</v>
      </c>
      <c r="B8" s="22">
        <v>0.1</v>
      </c>
      <c r="C8" s="14"/>
      <c r="D8" s="24">
        <f t="shared" si="0"/>
        <v>0</v>
      </c>
      <c r="E8" s="38"/>
      <c r="F8" s="1" t="s">
        <v>121</v>
      </c>
    </row>
    <row r="9" spans="1:6" ht="24.95" customHeight="1" x14ac:dyDescent="0.25">
      <c r="A9" s="6" t="s">
        <v>96</v>
      </c>
      <c r="B9" s="22">
        <v>0.1</v>
      </c>
      <c r="C9" s="14"/>
      <c r="D9" s="24">
        <f t="shared" si="0"/>
        <v>0</v>
      </c>
      <c r="E9" s="38"/>
      <c r="F9" s="1" t="s">
        <v>114</v>
      </c>
    </row>
    <row r="10" spans="1:6" ht="24.95" customHeight="1" x14ac:dyDescent="0.25">
      <c r="A10" s="6" t="s">
        <v>97</v>
      </c>
      <c r="B10" s="22">
        <v>0.1</v>
      </c>
      <c r="C10" s="14"/>
      <c r="D10" s="24">
        <f t="shared" si="0"/>
        <v>0</v>
      </c>
      <c r="E10" s="38"/>
      <c r="F10" s="1" t="s">
        <v>122</v>
      </c>
    </row>
    <row r="11" spans="1:6" ht="24.95" customHeight="1" x14ac:dyDescent="0.25">
      <c r="A11" s="6" t="s">
        <v>98</v>
      </c>
      <c r="B11" s="22">
        <v>0.1</v>
      </c>
      <c r="C11" s="14"/>
      <c r="D11" s="24">
        <f t="shared" si="0"/>
        <v>0</v>
      </c>
      <c r="E11" s="38"/>
      <c r="F11" s="1" t="s">
        <v>123</v>
      </c>
    </row>
    <row r="12" spans="1:6" ht="24.95" customHeight="1" x14ac:dyDescent="0.25">
      <c r="A12" s="6" t="s">
        <v>99</v>
      </c>
      <c r="B12" s="22">
        <v>0.15</v>
      </c>
      <c r="C12" s="14"/>
      <c r="D12" s="23">
        <f t="shared" si="0"/>
        <v>0</v>
      </c>
      <c r="E12" s="38"/>
      <c r="F12" s="1" t="s">
        <v>124</v>
      </c>
    </row>
    <row r="13" spans="1:6" ht="24.95" customHeight="1" x14ac:dyDescent="0.25">
      <c r="A13" s="9" t="s">
        <v>100</v>
      </c>
      <c r="B13" s="22">
        <v>0.1</v>
      </c>
      <c r="C13" s="14"/>
      <c r="D13" s="24">
        <f t="shared" si="0"/>
        <v>0</v>
      </c>
      <c r="E13" s="38"/>
      <c r="F13" s="1" t="s">
        <v>125</v>
      </c>
    </row>
    <row r="14" spans="1:6" x14ac:dyDescent="0.25">
      <c r="A14" s="39" t="s">
        <v>92</v>
      </c>
      <c r="B14" s="39"/>
      <c r="C14" s="39"/>
      <c r="D14" s="26">
        <f>SUM(D5:D13)</f>
        <v>0</v>
      </c>
    </row>
    <row r="16" spans="1:6" x14ac:dyDescent="0.25">
      <c r="B16" s="16"/>
    </row>
  </sheetData>
  <sheetProtection algorithmName="SHA-512" hashValue="fLSBWAPuzq1Kf6Vi54dFFLm4wOdEQOAmxuN5j/uCcWDuJiVQAI0KSj7K1KQqD5FZw9f2exlaJtW7eCIPP/D3vQ==" saltValue="8pBO8L7G2WqYyzz/W9sseA==" spinCount="100000" sheet="1" objects="1" scenarios="1" deleteColumns="0" deleteRows="0"/>
  <mergeCells count="2">
    <mergeCell ref="E6:E13"/>
    <mergeCell ref="A14:C14"/>
  </mergeCells>
  <conditionalFormatting sqref="C5:C13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D5">
    <cfRule type="iconSet" priority="6">
      <iconSet iconSet="3TrafficLights2">
        <cfvo type="percent" val="0"/>
        <cfvo type="num" val="0.15"/>
        <cfvo type="num" val="0.3"/>
      </iconSet>
    </cfRule>
  </conditionalFormatting>
  <conditionalFormatting sqref="D6:D11">
    <cfRule type="iconSet" priority="4">
      <iconSet iconSet="3TrafficLights2">
        <cfvo type="percent" val="0"/>
        <cfvo type="num" val="0.1"/>
        <cfvo type="num" val="0.2"/>
      </iconSet>
    </cfRule>
  </conditionalFormatting>
  <conditionalFormatting sqref="D12">
    <cfRule type="iconSet" priority="5">
      <iconSet iconSet="3TrafficLights2">
        <cfvo type="percent" val="0"/>
        <cfvo type="num" val="0.15"/>
        <cfvo type="num" val="0.3"/>
      </iconSet>
    </cfRule>
  </conditionalFormatting>
  <conditionalFormatting sqref="D13">
    <cfRule type="iconSet" priority="3">
      <iconSet iconSet="3TrafficLights2">
        <cfvo type="percent" val="0"/>
        <cfvo type="num" val="0.1"/>
        <cfvo type="num" val="0.2"/>
      </iconSet>
    </cfRule>
  </conditionalFormatting>
  <conditionalFormatting sqref="D14">
    <cfRule type="iconSet" priority="1">
      <iconSet iconSet="3TrafficLights2">
        <cfvo type="percent" val="0"/>
        <cfvo type="num" val="1"/>
        <cfvo type="num" val="2"/>
      </iconSet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7DA2-289D-4778-9D25-B2EEFB1A7781}">
  <dimension ref="A2:D16"/>
  <sheetViews>
    <sheetView workbookViewId="0">
      <selection activeCell="G11" sqref="G11"/>
    </sheetView>
  </sheetViews>
  <sheetFormatPr baseColWidth="10" defaultRowHeight="15" x14ac:dyDescent="0.25"/>
  <cols>
    <col min="1" max="1" width="22.5703125" style="1" customWidth="1"/>
    <col min="2" max="2" width="11.42578125" style="1"/>
    <col min="3" max="3" width="12.5703125" style="1" customWidth="1"/>
    <col min="4" max="16384" width="11.42578125" style="1"/>
  </cols>
  <sheetData>
    <row r="2" spans="1:4" x14ac:dyDescent="0.25">
      <c r="A2" s="4" t="s">
        <v>148</v>
      </c>
    </row>
    <row r="4" spans="1:4" x14ac:dyDescent="0.25">
      <c r="A4" s="40" t="s">
        <v>16</v>
      </c>
      <c r="B4" s="40"/>
      <c r="C4" s="40"/>
    </row>
    <row r="5" spans="1:4" x14ac:dyDescent="0.25">
      <c r="A5" s="40"/>
      <c r="B5" s="40"/>
      <c r="C5" s="40"/>
      <c r="D5" s="2"/>
    </row>
    <row r="6" spans="1:4" ht="30" x14ac:dyDescent="0.25">
      <c r="A6" s="29" t="s">
        <v>17</v>
      </c>
      <c r="B6" s="5" t="s">
        <v>59</v>
      </c>
      <c r="C6" s="5" t="s">
        <v>60</v>
      </c>
    </row>
    <row r="7" spans="1:4" x14ac:dyDescent="0.25">
      <c r="A7" s="1" t="s">
        <v>149</v>
      </c>
      <c r="B7" s="30">
        <f>'Valoración CT'!D17</f>
        <v>0</v>
      </c>
      <c r="C7" s="30">
        <f>'Valoración UC'!D14</f>
        <v>0</v>
      </c>
    </row>
    <row r="8" spans="1:4" x14ac:dyDescent="0.25">
      <c r="A8" s="1" t="s">
        <v>18</v>
      </c>
      <c r="B8" s="31"/>
      <c r="C8" s="31"/>
    </row>
    <row r="9" spans="1:4" x14ac:dyDescent="0.25">
      <c r="A9" s="1" t="s">
        <v>19</v>
      </c>
      <c r="B9" s="31"/>
      <c r="C9" s="31"/>
    </row>
    <row r="10" spans="1:4" x14ac:dyDescent="0.25">
      <c r="A10" s="1" t="s">
        <v>20</v>
      </c>
      <c r="B10" s="31"/>
      <c r="C10" s="31"/>
    </row>
    <row r="11" spans="1:4" x14ac:dyDescent="0.25">
      <c r="A11" s="1" t="s">
        <v>21</v>
      </c>
      <c r="B11" s="31"/>
      <c r="C11" s="31"/>
    </row>
    <row r="12" spans="1:4" x14ac:dyDescent="0.25">
      <c r="A12" s="1" t="s">
        <v>22</v>
      </c>
      <c r="B12" s="31"/>
      <c r="C12" s="31"/>
    </row>
    <row r="13" spans="1:4" x14ac:dyDescent="0.25">
      <c r="A13" s="1" t="s">
        <v>23</v>
      </c>
      <c r="B13" s="31"/>
      <c r="C13" s="31"/>
    </row>
    <row r="14" spans="1:4" x14ac:dyDescent="0.25">
      <c r="A14" s="1" t="s">
        <v>24</v>
      </c>
      <c r="B14" s="31"/>
      <c r="C14" s="31"/>
    </row>
    <row r="15" spans="1:4" x14ac:dyDescent="0.25">
      <c r="A15" s="1" t="s">
        <v>25</v>
      </c>
      <c r="B15" s="31"/>
      <c r="C15" s="31"/>
    </row>
    <row r="16" spans="1:4" x14ac:dyDescent="0.25">
      <c r="A16" s="1" t="s">
        <v>26</v>
      </c>
      <c r="B16" s="31"/>
      <c r="C16" s="31"/>
    </row>
  </sheetData>
  <sheetProtection algorithmName="SHA-512" hashValue="5S7QiHktV95r9i07K4PT9oJv3Qx8pRYLN+8k5X5aWl4ufcXboEuvGnWyI6aOiYj2uUegVTihwd3shBprJDKxiA==" saltValue="mV7m2scBs29ojdEJwT1kew==" spinCount="100000" sheet="1" objects="1" scenarios="1" deleteColumns="0"/>
  <mergeCells count="1">
    <mergeCell ref="A4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Contenido Territorial</vt:lpstr>
      <vt:lpstr>Ubicación y Conectividad</vt:lpstr>
      <vt:lpstr>Valoración CT</vt:lpstr>
      <vt:lpstr>Valoración UC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 Sebastian Calle Lituma</dc:creator>
  <cp:lastModifiedBy>Numa Sebastian Calle Lituma</cp:lastModifiedBy>
  <dcterms:created xsi:type="dcterms:W3CDTF">2023-11-07T15:32:46Z</dcterms:created>
  <dcterms:modified xsi:type="dcterms:W3CDTF">2025-05-20T22:33:22Z</dcterms:modified>
</cp:coreProperties>
</file>