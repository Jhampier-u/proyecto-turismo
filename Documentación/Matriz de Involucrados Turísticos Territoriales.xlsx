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D\Desktop\Universidades\Asignaturas ESPOL\Fundamentos de Planificación Turística\Herreamientas Libro\Análisis Turístico Territorial\"/>
    </mc:Choice>
  </mc:AlternateContent>
  <xr:revisionPtr revIDLastSave="0" documentId="13_ncr:1_{67B6186E-A660-4CCC-940D-108E1B6438AE}" xr6:coauthVersionLast="47" xr6:coauthVersionMax="47" xr10:uidLastSave="{00000000-0000-0000-0000-000000000000}"/>
  <bookViews>
    <workbookView xWindow="-120" yWindow="-120" windowWidth="20730" windowHeight="11160" xr2:uid="{230A248C-4BBF-494D-AC5E-26C863470A0E}"/>
  </bookViews>
  <sheets>
    <sheet name="Poder" sheetId="2" r:id="rId1"/>
    <sheet name="Legitimidad" sheetId="1" r:id="rId2"/>
    <sheet name="Urgencia" sheetId="3" r:id="rId3"/>
    <sheet name="Consolidació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2" l="1"/>
  <c r="J12" i="2"/>
  <c r="J13" i="2"/>
  <c r="J14" i="2"/>
  <c r="J15" i="2"/>
  <c r="J16" i="2"/>
  <c r="J17" i="2"/>
  <c r="J18" i="2"/>
  <c r="J19" i="2"/>
  <c r="J10" i="2"/>
  <c r="F30" i="4"/>
  <c r="F31" i="4"/>
  <c r="F32" i="4"/>
  <c r="F33" i="4"/>
  <c r="F34" i="4"/>
  <c r="F35" i="4"/>
  <c r="F36" i="4"/>
  <c r="F37" i="4"/>
  <c r="F38" i="4"/>
  <c r="F29" i="4"/>
  <c r="C6" i="4"/>
  <c r="C5" i="4"/>
  <c r="C6" i="3"/>
  <c r="C5" i="3"/>
  <c r="C6" i="1"/>
  <c r="C5" i="1"/>
  <c r="B12" i="1"/>
  <c r="B12" i="3"/>
  <c r="B13" i="3"/>
  <c r="B14" i="3"/>
  <c r="B15" i="3"/>
  <c r="B16" i="3"/>
  <c r="B17" i="3"/>
  <c r="B18" i="3"/>
  <c r="B19" i="3"/>
  <c r="B20" i="3"/>
  <c r="B11" i="3"/>
  <c r="B30" i="4" l="1"/>
  <c r="B31" i="4"/>
  <c r="B32" i="4"/>
  <c r="B33" i="4"/>
  <c r="B34" i="4"/>
  <c r="B35" i="4"/>
  <c r="B36" i="4"/>
  <c r="B37" i="4"/>
  <c r="B38" i="4"/>
  <c r="B29" i="4"/>
  <c r="B14" i="4"/>
  <c r="B13" i="4" l="1"/>
  <c r="B10" i="4"/>
  <c r="B11" i="4" l="1"/>
  <c r="B12" i="4"/>
  <c r="B15" i="4"/>
  <c r="B16" i="4"/>
  <c r="B17" i="4"/>
  <c r="B18" i="4"/>
  <c r="B13" i="1"/>
  <c r="B14" i="1"/>
  <c r="B15" i="1"/>
  <c r="B16" i="1"/>
  <c r="B17" i="1"/>
  <c r="B18" i="1"/>
  <c r="B19" i="1"/>
  <c r="B20" i="1"/>
  <c r="B11" i="1"/>
  <c r="B9" i="4"/>
  <c r="E20" i="3"/>
  <c r="G18" i="4" s="1"/>
  <c r="E19" i="3"/>
  <c r="G17" i="4" s="1"/>
  <c r="E18" i="3"/>
  <c r="G16" i="4" s="1"/>
  <c r="E17" i="3"/>
  <c r="G15" i="4" s="1"/>
  <c r="E16" i="3"/>
  <c r="G14" i="4" s="1"/>
  <c r="E15" i="3"/>
  <c r="G13" i="4" s="1"/>
  <c r="E14" i="3"/>
  <c r="G12" i="4" s="1"/>
  <c r="E13" i="3"/>
  <c r="G11" i="4" s="1"/>
  <c r="E12" i="3"/>
  <c r="G10" i="4" s="1"/>
  <c r="E11" i="3"/>
  <c r="G9" i="4" s="1"/>
  <c r="E20" i="1"/>
  <c r="E18" i="4" s="1"/>
  <c r="E19" i="1"/>
  <c r="E17" i="4" s="1"/>
  <c r="E18" i="1"/>
  <c r="E16" i="4" s="1"/>
  <c r="E17" i="1"/>
  <c r="E15" i="4" s="1"/>
  <c r="E16" i="1"/>
  <c r="E14" i="4" s="1"/>
  <c r="E15" i="1"/>
  <c r="E13" i="4" s="1"/>
  <c r="E14" i="1"/>
  <c r="E12" i="4" s="1"/>
  <c r="E13" i="1"/>
  <c r="E11" i="4" s="1"/>
  <c r="E12" i="1"/>
  <c r="E10" i="4" s="1"/>
  <c r="E11" i="1"/>
  <c r="E9" i="4" s="1"/>
  <c r="C10" i="4"/>
  <c r="C11" i="4"/>
  <c r="C12" i="4"/>
  <c r="C13" i="4"/>
  <c r="C14" i="4"/>
  <c r="C15" i="4"/>
  <c r="C16" i="4"/>
  <c r="C17" i="4"/>
  <c r="C18" i="4"/>
  <c r="C9" i="4"/>
  <c r="C21" i="4" l="1"/>
  <c r="E21" i="4"/>
  <c r="G19" i="4"/>
  <c r="H9" i="4" s="1"/>
  <c r="G21" i="4"/>
  <c r="E19" i="4"/>
  <c r="F16" i="4" s="1"/>
  <c r="C19" i="4"/>
  <c r="D18" i="4" s="1"/>
  <c r="D9" i="4" l="1"/>
  <c r="D17" i="4"/>
  <c r="H16" i="4"/>
  <c r="H18" i="4"/>
  <c r="H17" i="4"/>
  <c r="H15" i="4"/>
  <c r="H13" i="4"/>
  <c r="H11" i="4"/>
  <c r="H12" i="4"/>
  <c r="H14" i="4"/>
  <c r="H10" i="4"/>
  <c r="F10" i="4"/>
  <c r="F17" i="4"/>
  <c r="F18" i="4"/>
  <c r="F13" i="4"/>
  <c r="F15" i="4"/>
  <c r="F14" i="4"/>
  <c r="F9" i="4"/>
  <c r="F11" i="4"/>
  <c r="F12" i="4"/>
  <c r="C23" i="4"/>
  <c r="D16" i="4"/>
  <c r="D13" i="4"/>
  <c r="D11" i="4"/>
  <c r="D10" i="4"/>
  <c r="D14" i="4"/>
  <c r="D15" i="4"/>
  <c r="D12" i="4"/>
  <c r="I10" i="4" l="1"/>
  <c r="I18" i="4"/>
  <c r="I15" i="4"/>
  <c r="G22" i="4"/>
  <c r="G23" i="4"/>
  <c r="I14" i="4"/>
  <c r="E22" i="4"/>
  <c r="E23" i="4"/>
  <c r="I17" i="4"/>
  <c r="I9" i="4"/>
  <c r="I11" i="4"/>
  <c r="I12" i="4"/>
  <c r="I13" i="4"/>
  <c r="I16" i="4"/>
  <c r="C22" i="4"/>
  <c r="C24" i="4" s="1"/>
  <c r="G24" i="4" l="1"/>
  <c r="E24" i="4"/>
</calcChain>
</file>

<file path=xl/sharedStrings.xml><?xml version="1.0" encoding="utf-8"?>
<sst xmlns="http://schemas.openxmlformats.org/spreadsheetml/2006/main" count="132" uniqueCount="93">
  <si>
    <t>Medios Coercitivos</t>
  </si>
  <si>
    <t>Medios utilitarios</t>
  </si>
  <si>
    <t>Grado de Poder</t>
  </si>
  <si>
    <t>Involucrados</t>
  </si>
  <si>
    <t>Escala de Valores</t>
  </si>
  <si>
    <t>Grado de Disponibilidad</t>
  </si>
  <si>
    <t>No Posee</t>
  </si>
  <si>
    <t>Poca</t>
  </si>
  <si>
    <t>Media</t>
  </si>
  <si>
    <t>Máxima</t>
  </si>
  <si>
    <t>ESCALA VALORATIVA DE LA MATRIZ DE PODER</t>
  </si>
  <si>
    <t>MATRIZ DE PODER</t>
  </si>
  <si>
    <t>MATRIZ DE LEGITIMIDAD</t>
  </si>
  <si>
    <t>Grado de deseabilidad de actores</t>
  </si>
  <si>
    <t>Niveles de Deseabilidad</t>
  </si>
  <si>
    <t>Para la Sociedad</t>
  </si>
  <si>
    <t>Grado de Legitimidad</t>
  </si>
  <si>
    <t>Indeseable</t>
  </si>
  <si>
    <t>Poco Deseable</t>
  </si>
  <si>
    <t>Deseable</t>
  </si>
  <si>
    <t>Altamente Deseable</t>
  </si>
  <si>
    <t>ESCALA VALORATIVA DE LA MATRIZ DE LEGITIMIDAD</t>
  </si>
  <si>
    <t>MATRIZ DE URGENCIA</t>
  </si>
  <si>
    <t>Grado de urgencia de los actores</t>
  </si>
  <si>
    <t>Criterios de Urgenica</t>
  </si>
  <si>
    <t>Sensibilidad Temporal</t>
  </si>
  <si>
    <t>Criticidad</t>
  </si>
  <si>
    <t>Grado de Urgencia</t>
  </si>
  <si>
    <t>Nada Sensible</t>
  </si>
  <si>
    <t>Nada Crítico</t>
  </si>
  <si>
    <t>Poco Sensible</t>
  </si>
  <si>
    <t>Baja Criticidad</t>
  </si>
  <si>
    <t>Sensible</t>
  </si>
  <si>
    <t>Media Criticidad</t>
  </si>
  <si>
    <t>Alta Sensibilidad</t>
  </si>
  <si>
    <t>Alta Criticidad</t>
  </si>
  <si>
    <t>ESCALA VALORATIVA DE LA MATRIZ DE URGENCIA</t>
  </si>
  <si>
    <t>Actores</t>
  </si>
  <si>
    <t>Valor Normalizado</t>
  </si>
  <si>
    <t>Valor Total</t>
  </si>
  <si>
    <t>Actor 3:</t>
  </si>
  <si>
    <t>Actor 4:</t>
  </si>
  <si>
    <t>Actor 5:</t>
  </si>
  <si>
    <t>Actor 6:</t>
  </si>
  <si>
    <t>Actor 7:</t>
  </si>
  <si>
    <t>Actor 8:</t>
  </si>
  <si>
    <t>Actor 9:</t>
  </si>
  <si>
    <t>Actor 10:</t>
  </si>
  <si>
    <t>Total A x B x C</t>
  </si>
  <si>
    <t>Grado de Poder (A)</t>
  </si>
  <si>
    <t>Grado de Legitimidad (B)</t>
  </si>
  <si>
    <t>Grado de Urgencia (C)</t>
  </si>
  <si>
    <t>TOTAL</t>
  </si>
  <si>
    <t>Número de Actores</t>
  </si>
  <si>
    <t>Promedio</t>
  </si>
  <si>
    <t>MATRIZ DE CONSOLIDACIÓN</t>
  </si>
  <si>
    <t xml:space="preserve">Actor 2: </t>
  </si>
  <si>
    <t>Territorio/Localidad:</t>
  </si>
  <si>
    <t>Elaborado por:</t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</si>
  <si>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Mitchell et al; 1997</t>
    </r>
  </si>
  <si>
    <t>Valor Máximo</t>
  </si>
  <si>
    <t>Valor Mínimo</t>
  </si>
  <si>
    <t>MATRIZ RESUMEN</t>
  </si>
  <si>
    <t>Tipo de Stackeholder</t>
  </si>
  <si>
    <t>Autoridad</t>
  </si>
  <si>
    <t>Poder</t>
  </si>
  <si>
    <t xml:space="preserve"> Intelectuales</t>
  </si>
  <si>
    <t>Tecnológicos</t>
  </si>
  <si>
    <t>Para el territorio</t>
  </si>
  <si>
    <t>Recursos y Atractivos</t>
  </si>
  <si>
    <t>Presupuesto</t>
  </si>
  <si>
    <t>Cadena de Valor</t>
  </si>
  <si>
    <t>Relación entre los atributos y variables de poder, legitimidad y urgencia</t>
  </si>
  <si>
    <t>Atributo</t>
  </si>
  <si>
    <t>Variables</t>
  </si>
  <si>
    <t>Legitimidad</t>
  </si>
  <si>
    <t>Urgencia</t>
  </si>
  <si>
    <t>Adormecidos</t>
  </si>
  <si>
    <t>Exigentes</t>
  </si>
  <si>
    <t>Discrecionales</t>
  </si>
  <si>
    <t>X</t>
  </si>
  <si>
    <t>Peligrosos</t>
  </si>
  <si>
    <t>Dominantes</t>
  </si>
  <si>
    <t>Dependientes</t>
  </si>
  <si>
    <t>Definitivos</t>
  </si>
  <si>
    <t>Stakeholders Latentes</t>
  </si>
  <si>
    <t>Stakeholders Expectantes</t>
  </si>
  <si>
    <t>Stakeholders</t>
  </si>
  <si>
    <t>Punto Central del Rango</t>
  </si>
  <si>
    <t>Grado de Disponibilidad de los actores</t>
  </si>
  <si>
    <t>Actor 1:</t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</si>
  <si>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Lic. Numa Sebastián Calle Lituma, Mg. MBA. PhD. y Lic. Ronal Edison Chaca Espinoza, Mg. PhD.</t>
    </r>
  </si>
  <si>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 xml:space="preserve">Lic. Numa Sebastián Calle Lituma, Mg. MBA. PhD. y Lic. Ronal Edison Chaca Espinoza, Mg. PhD.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</si>
</sst>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name val="Calibri"/>
      <family val="2"/>
      <scheme val="minor"/>
    </font>
    <font>
      <b/>
      <sz val="11"/>
      <color rgb="FFFFFFFF"/>
      <name val="Calibri Light"/>
      <family val="2"/>
    </font>
    <font>
      <sz val="11"/>
      <color rgb="FF000000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2" borderId="0" xfId="0" applyFill="1" applyProtection="1">
      <protection locked="0"/>
    </xf>
    <xf numFmtId="0" fontId="0" fillId="2" borderId="25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2" fontId="0" fillId="2" borderId="0" xfId="0" applyNumberFormat="1" applyFill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46" xfId="0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2" borderId="47" xfId="0" applyFill="1" applyBorder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2" fillId="2" borderId="45" xfId="0" applyFont="1" applyFill="1" applyBorder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" fillId="2" borderId="40" xfId="0" applyFont="1" applyFill="1" applyBorder="1" applyAlignment="1" applyProtection="1">
      <alignment horizontal="center" vertical="center"/>
      <protection locked="0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2" fillId="2" borderId="42" xfId="0" applyFont="1" applyFill="1" applyBorder="1" applyAlignment="1" applyProtection="1">
      <alignment horizontal="center" vertical="center"/>
      <protection locked="0"/>
    </xf>
    <xf numFmtId="0" fontId="2" fillId="2" borderId="44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0" fontId="2" fillId="2" borderId="53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48" xfId="0" applyFill="1" applyBorder="1" applyProtection="1">
      <protection locked="0"/>
    </xf>
    <xf numFmtId="0" fontId="2" fillId="3" borderId="19" xfId="0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0" fillId="2" borderId="25" xfId="0" applyFill="1" applyBorder="1"/>
    <xf numFmtId="0" fontId="0" fillId="2" borderId="2" xfId="0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" xfId="0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2" fontId="2" fillId="2" borderId="18" xfId="0" applyNumberFormat="1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29" xfId="0" applyFont="1" applyFill="1" applyBorder="1"/>
    <xf numFmtId="0" fontId="0" fillId="2" borderId="3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3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2" fontId="0" fillId="2" borderId="40" xfId="0" applyNumberFormat="1" applyFill="1" applyBorder="1" applyAlignment="1">
      <alignment horizontal="center" vertical="center"/>
    </xf>
    <xf numFmtId="2" fontId="0" fillId="2" borderId="41" xfId="0" applyNumberFormat="1" applyFill="1" applyBorder="1" applyAlignment="1">
      <alignment horizontal="center" vertical="center"/>
    </xf>
    <xf numFmtId="2" fontId="0" fillId="2" borderId="42" xfId="0" applyNumberFormat="1" applyFill="1" applyBorder="1" applyAlignment="1">
      <alignment horizontal="center" vertical="center"/>
    </xf>
    <xf numFmtId="0" fontId="2" fillId="3" borderId="19" xfId="0" applyFont="1" applyFill="1" applyBorder="1" applyAlignment="1">
      <alignment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0" fillId="2" borderId="15" xfId="0" applyFill="1" applyBorder="1"/>
    <xf numFmtId="0" fontId="0" fillId="2" borderId="17" xfId="0" applyFill="1" applyBorder="1"/>
    <xf numFmtId="0" fontId="0" fillId="2" borderId="18" xfId="0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54" xfId="0" applyFill="1" applyBorder="1" applyProtection="1">
      <protection locked="0"/>
    </xf>
    <xf numFmtId="0" fontId="0" fillId="2" borderId="55" xfId="0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2" fillId="3" borderId="37" xfId="0" applyFont="1" applyFill="1" applyBorder="1"/>
    <xf numFmtId="0" fontId="0" fillId="2" borderId="54" xfId="0" applyFill="1" applyBorder="1"/>
    <xf numFmtId="0" fontId="0" fillId="2" borderId="29" xfId="0" applyFill="1" applyBorder="1"/>
    <xf numFmtId="0" fontId="2" fillId="2" borderId="16" xfId="0" applyFont="1" applyFill="1" applyBorder="1" applyAlignment="1">
      <alignment horizontal="center" vertical="center"/>
    </xf>
    <xf numFmtId="0" fontId="0" fillId="2" borderId="49" xfId="0" applyFill="1" applyBorder="1" applyAlignment="1" applyProtection="1">
      <alignment horizontal="center" vertical="center"/>
      <protection locked="0"/>
    </xf>
    <xf numFmtId="0" fontId="0" fillId="2" borderId="50" xfId="0" applyFill="1" applyBorder="1" applyAlignment="1" applyProtection="1">
      <alignment horizontal="center" vertical="center"/>
      <protection locked="0"/>
    </xf>
    <xf numFmtId="0" fontId="0" fillId="2" borderId="51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Protection="1">
      <protection locked="0"/>
    </xf>
    <xf numFmtId="0" fontId="0" fillId="2" borderId="53" xfId="0" applyFill="1" applyBorder="1" applyProtection="1">
      <protection locked="0"/>
    </xf>
    <xf numFmtId="0" fontId="0" fillId="2" borderId="22" xfId="0" applyFill="1" applyBorder="1" applyProtection="1"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Protection="1"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3" fillId="4" borderId="5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13" xfId="0" applyFont="1" applyBorder="1" applyAlignment="1">
      <alignment horizontal="center" vertical="center" wrapText="1" readingOrder="1"/>
    </xf>
    <xf numFmtId="0" fontId="7" fillId="7" borderId="25" xfId="0" applyFont="1" applyFill="1" applyBorder="1" applyAlignment="1">
      <alignment horizontal="center" vertical="center" wrapText="1" readingOrder="1"/>
    </xf>
    <xf numFmtId="0" fontId="7" fillId="7" borderId="2" xfId="0" applyFont="1" applyFill="1" applyBorder="1" applyAlignment="1">
      <alignment horizontal="center" vertical="center" wrapText="1" readingOrder="1"/>
    </xf>
    <xf numFmtId="0" fontId="7" fillId="7" borderId="10" xfId="0" applyFont="1" applyFill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0" fontId="8" fillId="0" borderId="12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4" fillId="6" borderId="25" xfId="0" applyFont="1" applyFill="1" applyBorder="1" applyAlignment="1">
      <alignment horizontal="center" vertical="center" wrapText="1" readingOrder="1"/>
    </xf>
    <xf numFmtId="0" fontId="4" fillId="6" borderId="10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3" borderId="26" xfId="0" applyFont="1" applyFill="1" applyBorder="1" applyAlignment="1" applyProtection="1">
      <alignment horizontal="center"/>
      <protection locked="0"/>
    </xf>
    <xf numFmtId="0" fontId="2" fillId="3" borderId="27" xfId="0" applyFont="1" applyFill="1" applyBorder="1" applyAlignment="1" applyProtection="1">
      <alignment horizontal="center"/>
      <protection locked="0"/>
    </xf>
    <xf numFmtId="0" fontId="2" fillId="3" borderId="28" xfId="0" applyFont="1" applyFill="1" applyBorder="1" applyAlignment="1" applyProtection="1">
      <alignment horizontal="center"/>
      <protection locked="0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3" fillId="6" borderId="33" xfId="0" applyFont="1" applyFill="1" applyBorder="1" applyAlignment="1">
      <alignment horizontal="center" vertical="center" wrapText="1"/>
    </xf>
    <xf numFmtId="0" fontId="3" fillId="6" borderId="35" xfId="0" applyFont="1" applyFill="1" applyBorder="1" applyAlignment="1">
      <alignment horizontal="center" vertical="center" wrapText="1"/>
    </xf>
    <xf numFmtId="0" fontId="3" fillId="6" borderId="34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7" borderId="31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/>
    </xf>
    <xf numFmtId="0" fontId="3" fillId="7" borderId="36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 wrapText="1"/>
    </xf>
    <xf numFmtId="0" fontId="0" fillId="2" borderId="41" xfId="0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 vertical="center"/>
      <protection locked="0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0" fillId="2" borderId="44" xfId="0" applyFill="1" applyBorder="1" applyProtection="1">
      <protection locked="0"/>
    </xf>
    <xf numFmtId="0" fontId="2" fillId="2" borderId="1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C1261D0-44A2-4D58-A71D-F21EEC1014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381000</xdr:colOff>
      <xdr:row>1</xdr:row>
      <xdr:rowOff>107157</xdr:rowOff>
    </xdr:from>
    <xdr:to>
      <xdr:col>25</xdr:col>
      <xdr:colOff>535779</xdr:colOff>
      <xdr:row>18</xdr:row>
      <xdr:rowOff>109589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3C5DC54C-C609-4B5B-8BD6-9CEE09778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1781" y="297657"/>
          <a:ext cx="6834186" cy="3533686"/>
        </a:xfrm>
        <a:prstGeom prst="rect">
          <a:avLst/>
        </a:prstGeom>
      </xdr:spPr>
    </xdr:pic>
    <xdr:clientData/>
  </xdr:twoCellAnchor>
  <xdr:twoCellAnchor editAs="oneCell">
    <xdr:from>
      <xdr:col>10</xdr:col>
      <xdr:colOff>335813</xdr:colOff>
      <xdr:row>19</xdr:row>
      <xdr:rowOff>14007</xdr:rowOff>
    </xdr:from>
    <xdr:to>
      <xdr:col>24</xdr:col>
      <xdr:colOff>417978</xdr:colOff>
      <xdr:row>39</xdr:row>
      <xdr:rowOff>59113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64F8566A-A1D2-4662-8EB7-7B0414663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85548" y="3913654"/>
          <a:ext cx="5528224" cy="422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C7FE-16F0-4920-AF26-E9D482B832EA}">
  <sheetPr codeName="Sheet1"/>
  <dimension ref="B2:M19"/>
  <sheetViews>
    <sheetView tabSelected="1" topLeftCell="A2" zoomScaleNormal="100" workbookViewId="0">
      <selection activeCell="H15" sqref="H15"/>
    </sheetView>
  </sheetViews>
  <sheetFormatPr baseColWidth="10" defaultColWidth="9.140625" defaultRowHeight="15" x14ac:dyDescent="0.25"/>
  <cols>
    <col min="1" max="1" width="2" style="1" customWidth="1"/>
    <col min="2" max="2" width="80.7109375" style="1" customWidth="1"/>
    <col min="3" max="3" width="15.42578125" style="1" customWidth="1"/>
    <col min="4" max="4" width="10.28515625" style="1" customWidth="1"/>
    <col min="5" max="5" width="10.85546875" style="1" customWidth="1"/>
    <col min="6" max="6" width="12.5703125" style="1" customWidth="1"/>
    <col min="7" max="7" width="14.140625" style="1" customWidth="1"/>
    <col min="8" max="8" width="9.140625" style="1"/>
    <col min="9" max="9" width="12.7109375" style="1" customWidth="1"/>
    <col min="10" max="10" width="9.140625" style="1"/>
    <col min="11" max="11" width="3.140625" style="1" customWidth="1"/>
    <col min="12" max="12" width="16.28515625" style="1" customWidth="1"/>
    <col min="13" max="13" width="17.5703125" style="1" customWidth="1"/>
    <col min="14" max="16384" width="9.140625" style="1"/>
  </cols>
  <sheetData>
    <row r="2" spans="2:13" x14ac:dyDescent="0.25">
      <c r="B2" s="73" t="s">
        <v>91</v>
      </c>
      <c r="H2" s="123" t="s">
        <v>59</v>
      </c>
      <c r="I2" s="123"/>
      <c r="J2" s="123"/>
    </row>
    <row r="3" spans="2:13" ht="15.75" thickBot="1" x14ac:dyDescent="0.3"/>
    <row r="4" spans="2:13" ht="15.75" thickBot="1" x14ac:dyDescent="0.3">
      <c r="B4" s="130" t="s">
        <v>11</v>
      </c>
      <c r="C4" s="131"/>
      <c r="D4" s="131"/>
      <c r="E4" s="131"/>
      <c r="F4" s="131"/>
      <c r="G4" s="131"/>
      <c r="H4" s="131"/>
      <c r="I4" s="131"/>
      <c r="J4" s="132"/>
    </row>
    <row r="5" spans="2:13" ht="15.75" thickBot="1" x14ac:dyDescent="0.3">
      <c r="B5" s="74" t="s">
        <v>57</v>
      </c>
      <c r="C5" s="117"/>
      <c r="D5" s="118"/>
      <c r="E5" s="118"/>
      <c r="F5" s="118"/>
      <c r="G5" s="118"/>
      <c r="H5" s="118"/>
      <c r="I5" s="118"/>
      <c r="J5" s="119"/>
    </row>
    <row r="6" spans="2:13" ht="15.75" thickBot="1" x14ac:dyDescent="0.3">
      <c r="B6" s="74" t="s">
        <v>58</v>
      </c>
      <c r="C6" s="117"/>
      <c r="D6" s="118"/>
      <c r="E6" s="118"/>
      <c r="F6" s="118"/>
      <c r="G6" s="118"/>
      <c r="H6" s="118"/>
      <c r="I6" s="118"/>
      <c r="J6" s="119"/>
      <c r="L6" s="111" t="s">
        <v>10</v>
      </c>
      <c r="M6" s="112"/>
    </row>
    <row r="7" spans="2:13" ht="15" customHeight="1" thickBot="1" x14ac:dyDescent="0.3">
      <c r="B7" s="128" t="s">
        <v>89</v>
      </c>
      <c r="C7" s="115" t="s">
        <v>0</v>
      </c>
      <c r="D7" s="116"/>
      <c r="E7" s="120" t="s">
        <v>1</v>
      </c>
      <c r="F7" s="121"/>
      <c r="G7" s="121"/>
      <c r="H7" s="121"/>
      <c r="I7" s="122"/>
      <c r="J7" s="126" t="s">
        <v>2</v>
      </c>
      <c r="L7" s="113"/>
      <c r="M7" s="114"/>
    </row>
    <row r="8" spans="2:13" ht="30.75" thickBot="1" x14ac:dyDescent="0.3">
      <c r="B8" s="129"/>
      <c r="C8" s="90" t="s">
        <v>64</v>
      </c>
      <c r="D8" s="91" t="s">
        <v>65</v>
      </c>
      <c r="E8" s="92" t="s">
        <v>69</v>
      </c>
      <c r="F8" s="93" t="s">
        <v>70</v>
      </c>
      <c r="G8" s="93" t="s">
        <v>67</v>
      </c>
      <c r="H8" s="93" t="s">
        <v>71</v>
      </c>
      <c r="I8" s="91" t="s">
        <v>66</v>
      </c>
      <c r="J8" s="126"/>
      <c r="L8" s="94" t="s">
        <v>4</v>
      </c>
      <c r="M8" s="95" t="s">
        <v>5</v>
      </c>
    </row>
    <row r="9" spans="2:13" ht="15.75" thickBot="1" x14ac:dyDescent="0.3">
      <c r="B9" s="124" t="s">
        <v>3</v>
      </c>
      <c r="C9" s="125"/>
      <c r="D9" s="125"/>
      <c r="E9" s="125"/>
      <c r="F9" s="125"/>
      <c r="G9" s="125"/>
      <c r="H9" s="125"/>
      <c r="I9" s="125"/>
      <c r="J9" s="127"/>
      <c r="L9" s="96">
        <v>0</v>
      </c>
      <c r="M9" s="97" t="s">
        <v>6</v>
      </c>
    </row>
    <row r="10" spans="2:13" x14ac:dyDescent="0.25">
      <c r="B10" s="184" t="s">
        <v>90</v>
      </c>
      <c r="C10" s="83"/>
      <c r="D10" s="84"/>
      <c r="E10" s="86"/>
      <c r="F10" s="87"/>
      <c r="G10" s="87"/>
      <c r="H10" s="87"/>
      <c r="I10" s="84"/>
      <c r="J10" s="185">
        <f>SUM(C10:I10)</f>
        <v>0</v>
      </c>
      <c r="L10" s="96">
        <v>1</v>
      </c>
      <c r="M10" s="97" t="s">
        <v>7</v>
      </c>
    </row>
    <row r="11" spans="2:13" x14ac:dyDescent="0.25">
      <c r="B11" s="81" t="s">
        <v>56</v>
      </c>
      <c r="C11" s="3"/>
      <c r="D11" s="69"/>
      <c r="E11" s="88"/>
      <c r="F11" s="4"/>
      <c r="G11" s="4"/>
      <c r="H11" s="4"/>
      <c r="I11" s="69"/>
      <c r="J11" s="77">
        <f t="shared" ref="J11:J19" si="0">SUM(C11:I11)</f>
        <v>0</v>
      </c>
      <c r="L11" s="96">
        <v>2</v>
      </c>
      <c r="M11" s="97" t="s">
        <v>8</v>
      </c>
    </row>
    <row r="12" spans="2:13" ht="15.75" thickBot="1" x14ac:dyDescent="0.3">
      <c r="B12" s="81" t="s">
        <v>40</v>
      </c>
      <c r="C12" s="3"/>
      <c r="D12" s="69"/>
      <c r="E12" s="88"/>
      <c r="F12" s="4"/>
      <c r="G12" s="4"/>
      <c r="H12" s="4"/>
      <c r="I12" s="69"/>
      <c r="J12" s="77">
        <f t="shared" si="0"/>
        <v>0</v>
      </c>
      <c r="L12" s="98">
        <v>3</v>
      </c>
      <c r="M12" s="99" t="s">
        <v>9</v>
      </c>
    </row>
    <row r="13" spans="2:13" x14ac:dyDescent="0.25">
      <c r="B13" s="81" t="s">
        <v>41</v>
      </c>
      <c r="C13" s="85"/>
      <c r="D13" s="69"/>
      <c r="E13" s="88"/>
      <c r="F13" s="4"/>
      <c r="G13" s="4"/>
      <c r="H13" s="4"/>
      <c r="I13" s="69"/>
      <c r="J13" s="77">
        <f t="shared" si="0"/>
        <v>0</v>
      </c>
    </row>
    <row r="14" spans="2:13" x14ac:dyDescent="0.25">
      <c r="B14" s="81" t="s">
        <v>42</v>
      </c>
      <c r="C14" s="3"/>
      <c r="D14" s="69"/>
      <c r="E14" s="88"/>
      <c r="F14" s="4"/>
      <c r="G14" s="4"/>
      <c r="H14" s="4"/>
      <c r="I14" s="69"/>
      <c r="J14" s="77">
        <f t="shared" si="0"/>
        <v>0</v>
      </c>
    </row>
    <row r="15" spans="2:13" x14ac:dyDescent="0.25">
      <c r="B15" s="71" t="s">
        <v>43</v>
      </c>
      <c r="C15" s="2"/>
      <c r="D15" s="69"/>
      <c r="E15" s="88"/>
      <c r="F15" s="4"/>
      <c r="G15" s="4"/>
      <c r="H15" s="4"/>
      <c r="I15" s="69"/>
      <c r="J15" s="77">
        <f t="shared" si="0"/>
        <v>0</v>
      </c>
    </row>
    <row r="16" spans="2:13" x14ac:dyDescent="0.25">
      <c r="B16" s="81" t="s">
        <v>44</v>
      </c>
      <c r="C16" s="3"/>
      <c r="D16" s="69"/>
      <c r="E16" s="88"/>
      <c r="F16" s="4"/>
      <c r="G16" s="4"/>
      <c r="H16" s="4"/>
      <c r="I16" s="69"/>
      <c r="J16" s="77">
        <f t="shared" si="0"/>
        <v>0</v>
      </c>
    </row>
    <row r="17" spans="2:10" x14ac:dyDescent="0.25">
      <c r="B17" s="81" t="s">
        <v>45</v>
      </c>
      <c r="C17" s="3"/>
      <c r="D17" s="69"/>
      <c r="E17" s="88"/>
      <c r="F17" s="4"/>
      <c r="G17" s="4"/>
      <c r="H17" s="4"/>
      <c r="I17" s="69"/>
      <c r="J17" s="77">
        <f t="shared" si="0"/>
        <v>0</v>
      </c>
    </row>
    <row r="18" spans="2:10" x14ac:dyDescent="0.25">
      <c r="B18" s="81" t="s">
        <v>46</v>
      </c>
      <c r="C18" s="3"/>
      <c r="D18" s="69"/>
      <c r="E18" s="88"/>
      <c r="F18" s="4"/>
      <c r="G18" s="4"/>
      <c r="H18" s="4"/>
      <c r="I18" s="69"/>
      <c r="J18" s="77">
        <f t="shared" si="0"/>
        <v>0</v>
      </c>
    </row>
    <row r="19" spans="2:10" ht="15.75" thickBot="1" x14ac:dyDescent="0.3">
      <c r="B19" s="82" t="s">
        <v>47</v>
      </c>
      <c r="C19" s="5"/>
      <c r="D19" s="70"/>
      <c r="E19" s="89"/>
      <c r="F19" s="6"/>
      <c r="G19" s="6"/>
      <c r="H19" s="6"/>
      <c r="I19" s="70"/>
      <c r="J19" s="186">
        <f t="shared" si="0"/>
        <v>0</v>
      </c>
    </row>
  </sheetData>
  <sheetProtection algorithmName="SHA-512" hashValue="MOz/6oNJEI+96cBIl7uJN359cej9T0rXkWsJ8f8eYRZfUJDb5SeGJ5jKCQoAfYfSCcFvv+FLr4Zfmiu2BLco5A==" saltValue="jGGb+axNQB9Gb8zi/EUO/g==" spinCount="100000" sheet="1" scenarios="1" formatCells="0" formatColumns="0" formatRows="0" insertRows="0" deleteRows="0" selectLockedCells="1"/>
  <mergeCells count="10">
    <mergeCell ref="H2:J2"/>
    <mergeCell ref="B9:I9"/>
    <mergeCell ref="J7:J9"/>
    <mergeCell ref="B7:B8"/>
    <mergeCell ref="B4:J4"/>
    <mergeCell ref="L6:M7"/>
    <mergeCell ref="C7:D7"/>
    <mergeCell ref="C5:J5"/>
    <mergeCell ref="C6:J6"/>
    <mergeCell ref="E7:I7"/>
  </mergeCells>
  <pageMargins left="0.7" right="0.7" top="0.75" bottom="0.75" header="0.3" footer="0.3"/>
  <pageSetup scale="75" orientation="portrait" r:id="rId1"/>
  <headerFooter>
    <oddHeader>&amp;L&amp;"-,Bold"Autor: &amp;"-,Regular"Lic. Numa Sebastián Calle Lituma, Mg. MBA.&amp;R&amp;"-,Bold"Fuente:&amp;"-,Regular" Mitchell et. al. 1997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1BBF-CF95-43BF-94E9-E299A06E16F3}">
  <sheetPr codeName="Sheet2"/>
  <dimension ref="B2:H20"/>
  <sheetViews>
    <sheetView zoomScaleNormal="100" workbookViewId="0">
      <selection activeCell="B3" sqref="B3"/>
    </sheetView>
  </sheetViews>
  <sheetFormatPr baseColWidth="10" defaultColWidth="9.140625" defaultRowHeight="15" x14ac:dyDescent="0.25"/>
  <cols>
    <col min="1" max="1" width="2.7109375" style="1" customWidth="1"/>
    <col min="2" max="2" width="80.7109375" style="1" customWidth="1"/>
    <col min="3" max="3" width="24" style="1" customWidth="1"/>
    <col min="4" max="4" width="23.5703125" style="1" customWidth="1"/>
    <col min="5" max="5" width="12.85546875" style="1" customWidth="1"/>
    <col min="6" max="6" width="2.5703125" style="1" customWidth="1"/>
    <col min="7" max="7" width="14" style="1" customWidth="1"/>
    <col min="8" max="8" width="21.28515625" style="1" customWidth="1"/>
    <col min="9" max="16384" width="9.140625" style="1"/>
  </cols>
  <sheetData>
    <row r="2" spans="2:8" x14ac:dyDescent="0.25">
      <c r="B2" s="73" t="s">
        <v>91</v>
      </c>
      <c r="D2" s="133" t="s">
        <v>59</v>
      </c>
      <c r="E2" s="133"/>
    </row>
    <row r="3" spans="2:8" ht="15.75" thickBot="1" x14ac:dyDescent="0.3"/>
    <row r="4" spans="2:8" ht="15.75" thickBot="1" x14ac:dyDescent="0.3">
      <c r="B4" s="130" t="s">
        <v>12</v>
      </c>
      <c r="C4" s="131"/>
      <c r="D4" s="131"/>
      <c r="E4" s="132"/>
    </row>
    <row r="5" spans="2:8" ht="15.75" thickBot="1" x14ac:dyDescent="0.3">
      <c r="B5" s="74" t="s">
        <v>57</v>
      </c>
      <c r="C5" s="124">
        <f>Poder!C5</f>
        <v>0</v>
      </c>
      <c r="D5" s="125"/>
      <c r="E5" s="143"/>
      <c r="G5" s="111" t="s">
        <v>21</v>
      </c>
      <c r="H5" s="112"/>
    </row>
    <row r="6" spans="2:8" ht="15.75" thickBot="1" x14ac:dyDescent="0.3">
      <c r="B6" s="74" t="s">
        <v>58</v>
      </c>
      <c r="C6" s="144">
        <f>Poder!C6</f>
        <v>0</v>
      </c>
      <c r="D6" s="145"/>
      <c r="E6" s="146"/>
      <c r="G6" s="113"/>
      <c r="H6" s="114"/>
    </row>
    <row r="7" spans="2:8" ht="30.75" customHeight="1" thickBot="1" x14ac:dyDescent="0.3">
      <c r="B7" s="134" t="s">
        <v>13</v>
      </c>
      <c r="C7" s="137" t="s">
        <v>14</v>
      </c>
      <c r="D7" s="138"/>
      <c r="E7" s="135" t="s">
        <v>16</v>
      </c>
      <c r="G7" s="109" t="s">
        <v>4</v>
      </c>
      <c r="H7" s="110" t="s">
        <v>14</v>
      </c>
    </row>
    <row r="8" spans="2:8" ht="15.75" customHeight="1" x14ac:dyDescent="0.25">
      <c r="B8" s="135"/>
      <c r="C8" s="139" t="s">
        <v>68</v>
      </c>
      <c r="D8" s="141" t="s">
        <v>15</v>
      </c>
      <c r="E8" s="135"/>
      <c r="G8" s="96">
        <v>0</v>
      </c>
      <c r="H8" s="97" t="s">
        <v>17</v>
      </c>
    </row>
    <row r="9" spans="2:8" ht="15.75" thickBot="1" x14ac:dyDescent="0.3">
      <c r="B9" s="136"/>
      <c r="C9" s="140"/>
      <c r="D9" s="142"/>
      <c r="E9" s="135"/>
      <c r="G9" s="96">
        <v>1</v>
      </c>
      <c r="H9" s="97" t="s">
        <v>18</v>
      </c>
    </row>
    <row r="10" spans="2:8" ht="15.75" thickBot="1" x14ac:dyDescent="0.3">
      <c r="B10" s="124" t="s">
        <v>3</v>
      </c>
      <c r="C10" s="125"/>
      <c r="D10" s="125"/>
      <c r="E10" s="136"/>
      <c r="G10" s="96">
        <v>2</v>
      </c>
      <c r="H10" s="97" t="s">
        <v>19</v>
      </c>
    </row>
    <row r="11" spans="2:8" ht="15.75" thickBot="1" x14ac:dyDescent="0.3">
      <c r="B11" s="75" t="str">
        <f>Poder!B10</f>
        <v>Actor 1:</v>
      </c>
      <c r="C11" s="11"/>
      <c r="D11" s="78"/>
      <c r="E11" s="77">
        <f t="shared" ref="E11:E20" si="0">SUM(C11:D11)</f>
        <v>0</v>
      </c>
      <c r="G11" s="98">
        <v>3</v>
      </c>
      <c r="H11" s="99" t="s">
        <v>20</v>
      </c>
    </row>
    <row r="12" spans="2:8" x14ac:dyDescent="0.25">
      <c r="B12" s="75" t="str">
        <f>Poder!B11</f>
        <v xml:space="preserve">Actor 2: </v>
      </c>
      <c r="C12" s="13"/>
      <c r="D12" s="79"/>
      <c r="E12" s="67">
        <f t="shared" si="0"/>
        <v>0</v>
      </c>
    </row>
    <row r="13" spans="2:8" x14ac:dyDescent="0.25">
      <c r="B13" s="75" t="str">
        <f>Poder!B12</f>
        <v>Actor 3:</v>
      </c>
      <c r="C13" s="13"/>
      <c r="D13" s="79"/>
      <c r="E13" s="67">
        <f t="shared" si="0"/>
        <v>0</v>
      </c>
    </row>
    <row r="14" spans="2:8" x14ac:dyDescent="0.25">
      <c r="B14" s="75" t="str">
        <f>Poder!B13</f>
        <v>Actor 4:</v>
      </c>
      <c r="C14" s="13"/>
      <c r="D14" s="79"/>
      <c r="E14" s="67">
        <f t="shared" si="0"/>
        <v>0</v>
      </c>
    </row>
    <row r="15" spans="2:8" x14ac:dyDescent="0.25">
      <c r="B15" s="75" t="str">
        <f>Poder!B14</f>
        <v>Actor 5:</v>
      </c>
      <c r="C15" s="13"/>
      <c r="D15" s="79"/>
      <c r="E15" s="67">
        <f t="shared" si="0"/>
        <v>0</v>
      </c>
    </row>
    <row r="16" spans="2:8" x14ac:dyDescent="0.25">
      <c r="B16" s="75" t="str">
        <f>Poder!B15</f>
        <v>Actor 6:</v>
      </c>
      <c r="C16" s="13"/>
      <c r="D16" s="79"/>
      <c r="E16" s="67">
        <f t="shared" si="0"/>
        <v>0</v>
      </c>
    </row>
    <row r="17" spans="2:5" x14ac:dyDescent="0.25">
      <c r="B17" s="75" t="str">
        <f>Poder!B16</f>
        <v>Actor 7:</v>
      </c>
      <c r="C17" s="13"/>
      <c r="D17" s="79"/>
      <c r="E17" s="67">
        <f t="shared" si="0"/>
        <v>0</v>
      </c>
    </row>
    <row r="18" spans="2:5" x14ac:dyDescent="0.25">
      <c r="B18" s="75" t="str">
        <f>Poder!B17</f>
        <v>Actor 8:</v>
      </c>
      <c r="C18" s="13"/>
      <c r="D18" s="79"/>
      <c r="E18" s="67">
        <f t="shared" si="0"/>
        <v>0</v>
      </c>
    </row>
    <row r="19" spans="2:5" x14ac:dyDescent="0.25">
      <c r="B19" s="75" t="str">
        <f>Poder!B18</f>
        <v>Actor 9:</v>
      </c>
      <c r="C19" s="13"/>
      <c r="D19" s="79"/>
      <c r="E19" s="67">
        <f t="shared" si="0"/>
        <v>0</v>
      </c>
    </row>
    <row r="20" spans="2:5" ht="15.75" thickBot="1" x14ac:dyDescent="0.3">
      <c r="B20" s="76" t="str">
        <f>Poder!B19</f>
        <v>Actor 10:</v>
      </c>
      <c r="C20" s="15"/>
      <c r="D20" s="80"/>
      <c r="E20" s="68">
        <f t="shared" si="0"/>
        <v>0</v>
      </c>
    </row>
  </sheetData>
  <sheetProtection algorithmName="SHA-512" hashValue="U/VbFN6l5dAPsfJk6uB+dKxPQFnMF8M3w01Bz1/gYnTKx5wsiAvwZH8shiNIMg7npasr2/Qc6s3LMqwyL1rQhg==" saltValue="jkUlw9SIQUpgeft+4PjvxQ==" spinCount="100000" sheet="1" scenarios="1" formatCells="0" formatColumns="0" formatRows="0" insertRows="0" deleteRows="0" selectLockedCells="1"/>
  <mergeCells count="11">
    <mergeCell ref="G5:H6"/>
    <mergeCell ref="D2:E2"/>
    <mergeCell ref="B7:B9"/>
    <mergeCell ref="C7:D7"/>
    <mergeCell ref="E7:E10"/>
    <mergeCell ref="B10:D10"/>
    <mergeCell ref="C8:C9"/>
    <mergeCell ref="D8:D9"/>
    <mergeCell ref="B4:E4"/>
    <mergeCell ref="C5:E5"/>
    <mergeCell ref="C6:E6"/>
  </mergeCells>
  <pageMargins left="0.7" right="0.7" top="0.75" bottom="0.75" header="0.3" footer="0.3"/>
  <pageSetup orientation="portrait" r:id="rId1"/>
  <headerFooter>
    <oddHeader>&amp;L&amp;"-,Bold"Autor:&amp;"-,Regular" Lic. Numa Sebastián Calle Lituma, Mg. MBA.
&amp;R&amp;"-,Bold"Fuente:&amp;"-,Regular" Mitchell et. al. 1997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FBE5-6B96-4E58-8070-F9CCF4D1F85E}">
  <sheetPr codeName="Sheet3"/>
  <dimension ref="B2:I20"/>
  <sheetViews>
    <sheetView zoomScaleNormal="100" workbookViewId="0">
      <selection activeCell="B3" sqref="B3"/>
    </sheetView>
  </sheetViews>
  <sheetFormatPr baseColWidth="10" defaultColWidth="9.140625" defaultRowHeight="15" x14ac:dyDescent="0.25"/>
  <cols>
    <col min="1" max="1" width="3.42578125" style="1" customWidth="1"/>
    <col min="2" max="2" width="80.7109375" style="1" customWidth="1"/>
    <col min="3" max="3" width="27.140625" style="1" bestFit="1" customWidth="1"/>
    <col min="4" max="4" width="15.42578125" style="1" bestFit="1" customWidth="1"/>
    <col min="5" max="5" width="20.28515625" style="1" bestFit="1" customWidth="1"/>
    <col min="6" max="6" width="3.28515625" style="1" customWidth="1"/>
    <col min="7" max="7" width="15.140625" style="1" customWidth="1"/>
    <col min="8" max="8" width="16.42578125" style="1" customWidth="1"/>
    <col min="9" max="9" width="17.28515625" style="1" customWidth="1"/>
    <col min="10" max="16384" width="9.140625" style="1"/>
  </cols>
  <sheetData>
    <row r="2" spans="2:9" x14ac:dyDescent="0.25">
      <c r="B2" s="73" t="s">
        <v>92</v>
      </c>
      <c r="D2" s="149" t="s">
        <v>59</v>
      </c>
      <c r="E2" s="149"/>
    </row>
    <row r="3" spans="2:9" ht="15.75" thickBot="1" x14ac:dyDescent="0.3"/>
    <row r="4" spans="2:9" ht="15.75" thickBot="1" x14ac:dyDescent="0.3">
      <c r="B4" s="130" t="s">
        <v>22</v>
      </c>
      <c r="C4" s="131"/>
      <c r="D4" s="131"/>
      <c r="E4" s="132"/>
    </row>
    <row r="5" spans="2:9" ht="15.75" thickBot="1" x14ac:dyDescent="0.3">
      <c r="B5" s="74" t="s">
        <v>57</v>
      </c>
      <c r="C5" s="124">
        <f>Poder!C5</f>
        <v>0</v>
      </c>
      <c r="D5" s="125"/>
      <c r="E5" s="143"/>
      <c r="G5" s="111" t="s">
        <v>36</v>
      </c>
      <c r="H5" s="147"/>
      <c r="I5" s="112"/>
    </row>
    <row r="6" spans="2:9" ht="15.75" thickBot="1" x14ac:dyDescent="0.3">
      <c r="B6" s="74" t="s">
        <v>58</v>
      </c>
      <c r="C6" s="144">
        <f>Poder!C6</f>
        <v>0</v>
      </c>
      <c r="D6" s="145"/>
      <c r="E6" s="146"/>
      <c r="G6" s="113"/>
      <c r="H6" s="148"/>
      <c r="I6" s="114"/>
    </row>
    <row r="7" spans="2:9" ht="28.5" customHeight="1" thickBot="1" x14ac:dyDescent="0.3">
      <c r="B7" s="158" t="s">
        <v>23</v>
      </c>
      <c r="C7" s="150" t="s">
        <v>24</v>
      </c>
      <c r="D7" s="151"/>
      <c r="E7" s="152" t="s">
        <v>27</v>
      </c>
      <c r="G7" s="100" t="s">
        <v>4</v>
      </c>
      <c r="H7" s="101" t="s">
        <v>25</v>
      </c>
      <c r="I7" s="102" t="s">
        <v>26</v>
      </c>
    </row>
    <row r="8" spans="2:9" x14ac:dyDescent="0.25">
      <c r="B8" s="152"/>
      <c r="C8" s="154" t="s">
        <v>25</v>
      </c>
      <c r="D8" s="156" t="s">
        <v>26</v>
      </c>
      <c r="E8" s="152"/>
      <c r="G8" s="103">
        <v>0</v>
      </c>
      <c r="H8" s="104" t="s">
        <v>28</v>
      </c>
      <c r="I8" s="105" t="s">
        <v>29</v>
      </c>
    </row>
    <row r="9" spans="2:9" ht="15.75" thickBot="1" x14ac:dyDescent="0.3">
      <c r="B9" s="153"/>
      <c r="C9" s="155"/>
      <c r="D9" s="157"/>
      <c r="E9" s="152"/>
      <c r="G9" s="103">
        <v>1</v>
      </c>
      <c r="H9" s="104" t="s">
        <v>30</v>
      </c>
      <c r="I9" s="105" t="s">
        <v>31</v>
      </c>
    </row>
    <row r="10" spans="2:9" ht="15.75" thickBot="1" x14ac:dyDescent="0.3">
      <c r="B10" s="124" t="s">
        <v>3</v>
      </c>
      <c r="C10" s="125"/>
      <c r="D10" s="143"/>
      <c r="E10" s="153"/>
      <c r="G10" s="103">
        <v>2</v>
      </c>
      <c r="H10" s="104" t="s">
        <v>32</v>
      </c>
      <c r="I10" s="105" t="s">
        <v>33</v>
      </c>
    </row>
    <row r="11" spans="2:9" ht="15.75" thickBot="1" x14ac:dyDescent="0.3">
      <c r="B11" s="75" t="str">
        <f>Poder!B10</f>
        <v>Actor 1:</v>
      </c>
      <c r="C11" s="11"/>
      <c r="D11" s="72"/>
      <c r="E11" s="77">
        <f t="shared" ref="E11:E20" si="0">SUM(C11:D11)</f>
        <v>0</v>
      </c>
      <c r="G11" s="106">
        <v>3</v>
      </c>
      <c r="H11" s="107" t="s">
        <v>34</v>
      </c>
      <c r="I11" s="108" t="s">
        <v>35</v>
      </c>
    </row>
    <row r="12" spans="2:9" x14ac:dyDescent="0.25">
      <c r="B12" s="75" t="str">
        <f>Poder!B11</f>
        <v xml:space="preserve">Actor 2: </v>
      </c>
      <c r="C12" s="13"/>
      <c r="D12" s="12"/>
      <c r="E12" s="67">
        <f t="shared" si="0"/>
        <v>0</v>
      </c>
    </row>
    <row r="13" spans="2:9" x14ac:dyDescent="0.25">
      <c r="B13" s="75" t="str">
        <f>Poder!B12</f>
        <v>Actor 3:</v>
      </c>
      <c r="C13" s="13"/>
      <c r="D13" s="12"/>
      <c r="E13" s="67">
        <f t="shared" si="0"/>
        <v>0</v>
      </c>
    </row>
    <row r="14" spans="2:9" x14ac:dyDescent="0.25">
      <c r="B14" s="75" t="str">
        <f>Poder!B13</f>
        <v>Actor 4:</v>
      </c>
      <c r="C14" s="13"/>
      <c r="D14" s="12"/>
      <c r="E14" s="67">
        <f t="shared" si="0"/>
        <v>0</v>
      </c>
    </row>
    <row r="15" spans="2:9" x14ac:dyDescent="0.25">
      <c r="B15" s="75" t="str">
        <f>Poder!B14</f>
        <v>Actor 5:</v>
      </c>
      <c r="C15" s="13"/>
      <c r="D15" s="12"/>
      <c r="E15" s="67">
        <f t="shared" si="0"/>
        <v>0</v>
      </c>
    </row>
    <row r="16" spans="2:9" x14ac:dyDescent="0.25">
      <c r="B16" s="75" t="str">
        <f>Poder!B15</f>
        <v>Actor 6:</v>
      </c>
      <c r="C16" s="13"/>
      <c r="D16" s="12"/>
      <c r="E16" s="67">
        <f t="shared" si="0"/>
        <v>0</v>
      </c>
    </row>
    <row r="17" spans="2:5" x14ac:dyDescent="0.25">
      <c r="B17" s="75" t="str">
        <f>Poder!B16</f>
        <v>Actor 7:</v>
      </c>
      <c r="C17" s="13"/>
      <c r="D17" s="12"/>
      <c r="E17" s="67">
        <f t="shared" si="0"/>
        <v>0</v>
      </c>
    </row>
    <row r="18" spans="2:5" x14ac:dyDescent="0.25">
      <c r="B18" s="75" t="str">
        <f>Poder!B17</f>
        <v>Actor 8:</v>
      </c>
      <c r="C18" s="13"/>
      <c r="D18" s="12"/>
      <c r="E18" s="67">
        <f t="shared" si="0"/>
        <v>0</v>
      </c>
    </row>
    <row r="19" spans="2:5" x14ac:dyDescent="0.25">
      <c r="B19" s="75" t="str">
        <f>Poder!B18</f>
        <v>Actor 9:</v>
      </c>
      <c r="C19" s="13"/>
      <c r="D19" s="12"/>
      <c r="E19" s="67">
        <f t="shared" si="0"/>
        <v>0</v>
      </c>
    </row>
    <row r="20" spans="2:5" ht="15.75" thickBot="1" x14ac:dyDescent="0.3">
      <c r="B20" s="76" t="str">
        <f>Poder!B19</f>
        <v>Actor 10:</v>
      </c>
      <c r="C20" s="15"/>
      <c r="D20" s="14"/>
      <c r="E20" s="68">
        <f t="shared" si="0"/>
        <v>0</v>
      </c>
    </row>
  </sheetData>
  <sheetProtection algorithmName="SHA-512" hashValue="bLK3gGYn4mm/FeF/gPyN7cTv2nIjBZhKZAieMI7ZPFEirWivLlqV01B4/EIGmqHCMRHpCy5nHm6PO9FP6q3xFw==" saltValue="Cf+NoS6uTzPpkkBtig7zvw==" spinCount="100000" sheet="1" scenarios="1" formatCells="0" formatColumns="0" formatRows="0" insertRows="0" deleteRows="0" selectLockedCells="1"/>
  <mergeCells count="11">
    <mergeCell ref="C7:D7"/>
    <mergeCell ref="E7:E10"/>
    <mergeCell ref="C8:C9"/>
    <mergeCell ref="D8:D9"/>
    <mergeCell ref="B10:D10"/>
    <mergeCell ref="B7:B9"/>
    <mergeCell ref="G5:I6"/>
    <mergeCell ref="B4:E4"/>
    <mergeCell ref="C6:E6"/>
    <mergeCell ref="C5:E5"/>
    <mergeCell ref="D2:E2"/>
  </mergeCells>
  <pageMargins left="0.7" right="0.7" top="0.75" bottom="0.75" header="0.3" footer="0.3"/>
  <pageSetup paperSize="8" scale="120" orientation="portrait" r:id="rId1"/>
  <headerFooter>
    <oddHeader>&amp;L&amp;"-,Bold"Autor:&amp;"-,Regular" Lic. Numa Sebastián Calle Lituma, Mg. MBA.&amp;R&amp;"-,Bold"Fuente: &amp;"-,Regular"Mitchell et. al. 1997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638E-BB72-4949-B991-4E38F243ADC5}">
  <sheetPr codeName="Sheet4"/>
  <dimension ref="B2:P38"/>
  <sheetViews>
    <sheetView topLeftCell="A10" zoomScale="85" zoomScaleNormal="85" workbookViewId="0">
      <selection activeCell="H28" sqref="H28"/>
    </sheetView>
  </sheetViews>
  <sheetFormatPr baseColWidth="10" defaultColWidth="9.140625" defaultRowHeight="15" x14ac:dyDescent="0.25"/>
  <cols>
    <col min="1" max="1" width="2" style="1" customWidth="1"/>
    <col min="2" max="2" width="80.7109375" style="1" customWidth="1"/>
    <col min="3" max="3" width="11.7109375" style="1" customWidth="1"/>
    <col min="4" max="4" width="14.85546875" style="1" customWidth="1"/>
    <col min="5" max="5" width="15" style="1" customWidth="1"/>
    <col min="6" max="6" width="16.42578125" style="1" customWidth="1"/>
    <col min="7" max="7" width="13.42578125" style="1" customWidth="1"/>
    <col min="8" max="8" width="14.42578125" style="1" customWidth="1"/>
    <col min="9" max="11" width="9.140625" style="1"/>
    <col min="12" max="12" width="25" style="1" hidden="1" customWidth="1"/>
    <col min="13" max="13" width="19.7109375" style="1" hidden="1" customWidth="1"/>
    <col min="14" max="14" width="6.28515625" style="1" hidden="1" customWidth="1"/>
    <col min="15" max="15" width="11.42578125" style="1" hidden="1" customWidth="1"/>
    <col min="16" max="16" width="8.85546875" style="1" hidden="1" customWidth="1"/>
    <col min="17" max="16384" width="9.140625" style="1"/>
  </cols>
  <sheetData>
    <row r="2" spans="2:9" x14ac:dyDescent="0.25">
      <c r="B2" s="123" t="s">
        <v>91</v>
      </c>
      <c r="C2" s="123"/>
      <c r="D2" s="123"/>
      <c r="E2" s="123"/>
      <c r="G2" s="149" t="s">
        <v>59</v>
      </c>
      <c r="H2" s="149"/>
      <c r="I2" s="149"/>
    </row>
    <row r="3" spans="2:9" ht="15.75" thickBot="1" x14ac:dyDescent="0.3"/>
    <row r="4" spans="2:9" ht="15.75" thickBot="1" x14ac:dyDescent="0.3">
      <c r="B4" s="130" t="s">
        <v>55</v>
      </c>
      <c r="C4" s="131"/>
      <c r="D4" s="131"/>
      <c r="E4" s="131"/>
      <c r="F4" s="131"/>
      <c r="G4" s="131"/>
      <c r="H4" s="131"/>
      <c r="I4" s="132"/>
    </row>
    <row r="5" spans="2:9" ht="15.75" thickBot="1" x14ac:dyDescent="0.3">
      <c r="B5" s="30" t="s">
        <v>57</v>
      </c>
      <c r="C5" s="144">
        <f>Poder!C5</f>
        <v>0</v>
      </c>
      <c r="D5" s="145"/>
      <c r="E5" s="145"/>
      <c r="F5" s="145"/>
      <c r="G5" s="145"/>
      <c r="H5" s="145"/>
      <c r="I5" s="146"/>
    </row>
    <row r="6" spans="2:9" ht="15.75" thickBot="1" x14ac:dyDescent="0.3">
      <c r="B6" s="31" t="s">
        <v>58</v>
      </c>
      <c r="C6" s="144">
        <f>Poder!C6</f>
        <v>0</v>
      </c>
      <c r="D6" s="145"/>
      <c r="E6" s="145"/>
      <c r="F6" s="145"/>
      <c r="G6" s="145"/>
      <c r="H6" s="145"/>
      <c r="I6" s="146"/>
    </row>
    <row r="7" spans="2:9" x14ac:dyDescent="0.25">
      <c r="B7" s="180" t="s">
        <v>37</v>
      </c>
      <c r="C7" s="176" t="s">
        <v>49</v>
      </c>
      <c r="D7" s="176"/>
      <c r="E7" s="177" t="s">
        <v>50</v>
      </c>
      <c r="F7" s="177"/>
      <c r="G7" s="178" t="s">
        <v>51</v>
      </c>
      <c r="H7" s="179"/>
      <c r="I7" s="182" t="s">
        <v>48</v>
      </c>
    </row>
    <row r="8" spans="2:9" ht="33" customHeight="1" thickBot="1" x14ac:dyDescent="0.3">
      <c r="B8" s="181"/>
      <c r="C8" s="32" t="s">
        <v>39</v>
      </c>
      <c r="D8" s="32" t="s">
        <v>38</v>
      </c>
      <c r="E8" s="33" t="s">
        <v>39</v>
      </c>
      <c r="F8" s="33" t="s">
        <v>38</v>
      </c>
      <c r="G8" s="34" t="s">
        <v>39</v>
      </c>
      <c r="H8" s="35" t="s">
        <v>38</v>
      </c>
      <c r="I8" s="183"/>
    </row>
    <row r="9" spans="2:9" x14ac:dyDescent="0.25">
      <c r="B9" s="36" t="str">
        <f>Poder!B10</f>
        <v>Actor 1:</v>
      </c>
      <c r="C9" s="37">
        <f>Poder!J10</f>
        <v>0</v>
      </c>
      <c r="D9" s="38" t="e">
        <f>(C9/$C$19)*$C$20</f>
        <v>#DIV/0!</v>
      </c>
      <c r="E9" s="37">
        <f>Legitimidad!E11</f>
        <v>0</v>
      </c>
      <c r="F9" s="38" t="e">
        <f>(E9/$E$19)*$E$20</f>
        <v>#DIV/0!</v>
      </c>
      <c r="G9" s="37">
        <f>Urgencia!E11</f>
        <v>0</v>
      </c>
      <c r="H9" s="39" t="e">
        <f>(G9/$G$19)*$G$20</f>
        <v>#DIV/0!</v>
      </c>
      <c r="I9" s="40" t="e">
        <f>D9*F9*H9</f>
        <v>#DIV/0!</v>
      </c>
    </row>
    <row r="10" spans="2:9" x14ac:dyDescent="0.25">
      <c r="B10" s="41" t="str">
        <f>Poder!B11</f>
        <v xml:space="preserve">Actor 2: </v>
      </c>
      <c r="C10" s="42">
        <f>Poder!J11</f>
        <v>0</v>
      </c>
      <c r="D10" s="38" t="e">
        <f t="shared" ref="D10:D18" si="0">(C10/$C$19)*$C$20</f>
        <v>#DIV/0!</v>
      </c>
      <c r="E10" s="42">
        <f>Legitimidad!E12</f>
        <v>0</v>
      </c>
      <c r="F10" s="38" t="e">
        <f t="shared" ref="F10:F18" si="1">(E10/$E$19)*$E$20</f>
        <v>#DIV/0!</v>
      </c>
      <c r="G10" s="42">
        <f>Urgencia!E12</f>
        <v>0</v>
      </c>
      <c r="H10" s="39" t="e">
        <f t="shared" ref="H10:H18" si="2">(G10/$G$19)*$G$20</f>
        <v>#DIV/0!</v>
      </c>
      <c r="I10" s="43" t="e">
        <f>D10*F10*H10</f>
        <v>#DIV/0!</v>
      </c>
    </row>
    <row r="11" spans="2:9" x14ac:dyDescent="0.25">
      <c r="B11" s="41" t="str">
        <f>Poder!B12</f>
        <v>Actor 3:</v>
      </c>
      <c r="C11" s="42">
        <f>Poder!J12</f>
        <v>0</v>
      </c>
      <c r="D11" s="38" t="e">
        <f t="shared" si="0"/>
        <v>#DIV/0!</v>
      </c>
      <c r="E11" s="42">
        <f>Legitimidad!E13</f>
        <v>0</v>
      </c>
      <c r="F11" s="38" t="e">
        <f t="shared" si="1"/>
        <v>#DIV/0!</v>
      </c>
      <c r="G11" s="42">
        <f>Urgencia!E13</f>
        <v>0</v>
      </c>
      <c r="H11" s="39" t="e">
        <f t="shared" si="2"/>
        <v>#DIV/0!</v>
      </c>
      <c r="I11" s="43" t="e">
        <f t="shared" ref="I11:I18" si="3">D11*F11*H11</f>
        <v>#DIV/0!</v>
      </c>
    </row>
    <row r="12" spans="2:9" x14ac:dyDescent="0.25">
      <c r="B12" s="41" t="str">
        <f>Poder!B13</f>
        <v>Actor 4:</v>
      </c>
      <c r="C12" s="42">
        <f>Poder!J13</f>
        <v>0</v>
      </c>
      <c r="D12" s="38" t="e">
        <f t="shared" si="0"/>
        <v>#DIV/0!</v>
      </c>
      <c r="E12" s="42">
        <f>Legitimidad!E14</f>
        <v>0</v>
      </c>
      <c r="F12" s="38" t="e">
        <f t="shared" si="1"/>
        <v>#DIV/0!</v>
      </c>
      <c r="G12" s="42">
        <f>Urgencia!E14</f>
        <v>0</v>
      </c>
      <c r="H12" s="39" t="e">
        <f t="shared" si="2"/>
        <v>#DIV/0!</v>
      </c>
      <c r="I12" s="43" t="e">
        <f t="shared" si="3"/>
        <v>#DIV/0!</v>
      </c>
    </row>
    <row r="13" spans="2:9" x14ac:dyDescent="0.25">
      <c r="B13" s="41" t="str">
        <f>Poder!B14</f>
        <v>Actor 5:</v>
      </c>
      <c r="C13" s="42">
        <f>Poder!J14</f>
        <v>0</v>
      </c>
      <c r="D13" s="38" t="e">
        <f t="shared" si="0"/>
        <v>#DIV/0!</v>
      </c>
      <c r="E13" s="42">
        <f>Legitimidad!E15</f>
        <v>0</v>
      </c>
      <c r="F13" s="38" t="e">
        <f t="shared" si="1"/>
        <v>#DIV/0!</v>
      </c>
      <c r="G13" s="42">
        <f>Urgencia!E15</f>
        <v>0</v>
      </c>
      <c r="H13" s="39" t="e">
        <f t="shared" si="2"/>
        <v>#DIV/0!</v>
      </c>
      <c r="I13" s="43" t="e">
        <f t="shared" si="3"/>
        <v>#DIV/0!</v>
      </c>
    </row>
    <row r="14" spans="2:9" x14ac:dyDescent="0.25">
      <c r="B14" s="41" t="str">
        <f>Poder!B15</f>
        <v>Actor 6:</v>
      </c>
      <c r="C14" s="42">
        <f>Poder!J15</f>
        <v>0</v>
      </c>
      <c r="D14" s="38" t="e">
        <f t="shared" si="0"/>
        <v>#DIV/0!</v>
      </c>
      <c r="E14" s="42">
        <f>Legitimidad!E16</f>
        <v>0</v>
      </c>
      <c r="F14" s="38" t="e">
        <f t="shared" si="1"/>
        <v>#DIV/0!</v>
      </c>
      <c r="G14" s="42">
        <f>Urgencia!E16</f>
        <v>0</v>
      </c>
      <c r="H14" s="39" t="e">
        <f t="shared" si="2"/>
        <v>#DIV/0!</v>
      </c>
      <c r="I14" s="43" t="e">
        <f t="shared" si="3"/>
        <v>#DIV/0!</v>
      </c>
    </row>
    <row r="15" spans="2:9" x14ac:dyDescent="0.25">
      <c r="B15" s="41" t="str">
        <f>Poder!B16</f>
        <v>Actor 7:</v>
      </c>
      <c r="C15" s="42">
        <f>Poder!J16</f>
        <v>0</v>
      </c>
      <c r="D15" s="38" t="e">
        <f t="shared" si="0"/>
        <v>#DIV/0!</v>
      </c>
      <c r="E15" s="42">
        <f>Legitimidad!E17</f>
        <v>0</v>
      </c>
      <c r="F15" s="38" t="e">
        <f t="shared" si="1"/>
        <v>#DIV/0!</v>
      </c>
      <c r="G15" s="42">
        <f>Urgencia!E17</f>
        <v>0</v>
      </c>
      <c r="H15" s="39" t="e">
        <f t="shared" si="2"/>
        <v>#DIV/0!</v>
      </c>
      <c r="I15" s="43" t="e">
        <f t="shared" si="3"/>
        <v>#DIV/0!</v>
      </c>
    </row>
    <row r="16" spans="2:9" x14ac:dyDescent="0.25">
      <c r="B16" s="41" t="str">
        <f>Poder!B17</f>
        <v>Actor 8:</v>
      </c>
      <c r="C16" s="42">
        <f>Poder!J17</f>
        <v>0</v>
      </c>
      <c r="D16" s="38" t="e">
        <f t="shared" si="0"/>
        <v>#DIV/0!</v>
      </c>
      <c r="E16" s="42">
        <f>Legitimidad!E18</f>
        <v>0</v>
      </c>
      <c r="F16" s="38" t="e">
        <f t="shared" si="1"/>
        <v>#DIV/0!</v>
      </c>
      <c r="G16" s="42">
        <f>Urgencia!E18</f>
        <v>0</v>
      </c>
      <c r="H16" s="39" t="e">
        <f t="shared" si="2"/>
        <v>#DIV/0!</v>
      </c>
      <c r="I16" s="43" t="e">
        <f t="shared" si="3"/>
        <v>#DIV/0!</v>
      </c>
    </row>
    <row r="17" spans="2:16" x14ac:dyDescent="0.25">
      <c r="B17" s="41" t="str">
        <f>Poder!B18</f>
        <v>Actor 9:</v>
      </c>
      <c r="C17" s="42">
        <f>Poder!J18</f>
        <v>0</v>
      </c>
      <c r="D17" s="38" t="e">
        <f t="shared" si="0"/>
        <v>#DIV/0!</v>
      </c>
      <c r="E17" s="42">
        <f>Legitimidad!E19</f>
        <v>0</v>
      </c>
      <c r="F17" s="38" t="e">
        <f t="shared" si="1"/>
        <v>#DIV/0!</v>
      </c>
      <c r="G17" s="42">
        <f>Urgencia!E19</f>
        <v>0</v>
      </c>
      <c r="H17" s="39" t="e">
        <f t="shared" si="2"/>
        <v>#DIV/0!</v>
      </c>
      <c r="I17" s="43" t="e">
        <f t="shared" si="3"/>
        <v>#DIV/0!</v>
      </c>
    </row>
    <row r="18" spans="2:16" ht="15.75" thickBot="1" x14ac:dyDescent="0.3">
      <c r="B18" s="44" t="str">
        <f>Poder!B19</f>
        <v>Actor 10:</v>
      </c>
      <c r="C18" s="42">
        <f>Poder!J19</f>
        <v>0</v>
      </c>
      <c r="D18" s="38" t="e">
        <f t="shared" si="0"/>
        <v>#DIV/0!</v>
      </c>
      <c r="E18" s="42">
        <f>Legitimidad!E20</f>
        <v>0</v>
      </c>
      <c r="F18" s="38" t="e">
        <f t="shared" si="1"/>
        <v>#DIV/0!</v>
      </c>
      <c r="G18" s="42">
        <f>Urgencia!E20</f>
        <v>0</v>
      </c>
      <c r="H18" s="39" t="e">
        <f t="shared" si="2"/>
        <v>#DIV/0!</v>
      </c>
      <c r="I18" s="45" t="e">
        <f t="shared" si="3"/>
        <v>#DIV/0!</v>
      </c>
    </row>
    <row r="19" spans="2:16" x14ac:dyDescent="0.25">
      <c r="B19" s="46" t="s">
        <v>52</v>
      </c>
      <c r="C19" s="49">
        <f>SUM(C9:C18)</f>
        <v>0</v>
      </c>
      <c r="D19" s="164"/>
      <c r="E19" s="54">
        <f>SUM(E9:E18)</f>
        <v>0</v>
      </c>
      <c r="F19" s="167"/>
      <c r="G19" s="54">
        <f>SUM(G9:G18)</f>
        <v>0</v>
      </c>
      <c r="H19" s="170"/>
      <c r="I19" s="171"/>
    </row>
    <row r="20" spans="2:16" x14ac:dyDescent="0.25">
      <c r="B20" s="47" t="s">
        <v>53</v>
      </c>
      <c r="C20" s="7"/>
      <c r="D20" s="165"/>
      <c r="E20" s="10"/>
      <c r="F20" s="168"/>
      <c r="G20" s="10"/>
      <c r="H20" s="172"/>
      <c r="I20" s="173"/>
    </row>
    <row r="21" spans="2:16" x14ac:dyDescent="0.25">
      <c r="B21" s="47" t="s">
        <v>54</v>
      </c>
      <c r="C21" s="50">
        <f>AVERAGE(C9:C18)</f>
        <v>0</v>
      </c>
      <c r="D21" s="165"/>
      <c r="E21" s="55">
        <f>AVERAGE(E9:E18)</f>
        <v>0</v>
      </c>
      <c r="F21" s="168"/>
      <c r="G21" s="55">
        <f>AVERAGE(G9:G18)</f>
        <v>0</v>
      </c>
      <c r="H21" s="172"/>
      <c r="I21" s="173"/>
    </row>
    <row r="22" spans="2:16" x14ac:dyDescent="0.25">
      <c r="B22" s="47" t="s">
        <v>60</v>
      </c>
      <c r="C22" s="51" t="e">
        <f>MAX(D9:D18)</f>
        <v>#DIV/0!</v>
      </c>
      <c r="D22" s="165"/>
      <c r="E22" s="56" t="e">
        <f>MAX(F9:F18)</f>
        <v>#DIV/0!</v>
      </c>
      <c r="F22" s="168"/>
      <c r="G22" s="56" t="e">
        <f>MAX(H9:H18)</f>
        <v>#DIV/0!</v>
      </c>
      <c r="H22" s="172"/>
      <c r="I22" s="173"/>
    </row>
    <row r="23" spans="2:16" x14ac:dyDescent="0.25">
      <c r="B23" s="47" t="s">
        <v>61</v>
      </c>
      <c r="C23" s="52" t="e">
        <f>MIN(D9:D18)</f>
        <v>#DIV/0!</v>
      </c>
      <c r="D23" s="165"/>
      <c r="E23" s="57" t="e">
        <f>MIN(F9:F18)</f>
        <v>#DIV/0!</v>
      </c>
      <c r="F23" s="168"/>
      <c r="G23" s="57" t="e">
        <f>MIN(H9:H18)</f>
        <v>#DIV/0!</v>
      </c>
      <c r="H23" s="172"/>
      <c r="I23" s="173"/>
    </row>
    <row r="24" spans="2:16" ht="15.75" thickBot="1" x14ac:dyDescent="0.3">
      <c r="B24" s="48" t="s">
        <v>88</v>
      </c>
      <c r="C24" s="53" t="e">
        <f>AVERAGE(C22:C23)</f>
        <v>#DIV/0!</v>
      </c>
      <c r="D24" s="166"/>
      <c r="E24" s="58" t="e">
        <f>AVERAGE(E22:E23)</f>
        <v>#DIV/0!</v>
      </c>
      <c r="F24" s="169"/>
      <c r="G24" s="58" t="e">
        <f>AVERAGE(G22:G23)</f>
        <v>#DIV/0!</v>
      </c>
      <c r="H24" s="174"/>
      <c r="I24" s="175"/>
    </row>
    <row r="25" spans="2:16" x14ac:dyDescent="0.25">
      <c r="B25" s="8"/>
      <c r="C25" s="9"/>
    </row>
    <row r="26" spans="2:16" ht="15.75" thickBot="1" x14ac:dyDescent="0.3"/>
    <row r="27" spans="2:16" ht="15.75" thickBot="1" x14ac:dyDescent="0.3">
      <c r="B27" s="130" t="s">
        <v>62</v>
      </c>
      <c r="C27" s="131"/>
      <c r="D27" s="131"/>
      <c r="E27" s="131"/>
      <c r="F27" s="132"/>
      <c r="L27" s="163" t="s">
        <v>72</v>
      </c>
      <c r="M27" s="163"/>
      <c r="N27" s="163"/>
      <c r="O27" s="163"/>
      <c r="P27" s="163"/>
    </row>
    <row r="28" spans="2:16" ht="40.5" customHeight="1" thickBot="1" x14ac:dyDescent="0.3">
      <c r="B28" s="59" t="s">
        <v>37</v>
      </c>
      <c r="C28" s="60" t="s">
        <v>2</v>
      </c>
      <c r="D28" s="62" t="s">
        <v>27</v>
      </c>
      <c r="E28" s="61" t="s">
        <v>16</v>
      </c>
      <c r="F28" s="63" t="s">
        <v>63</v>
      </c>
      <c r="L28" s="163"/>
      <c r="M28" s="163"/>
      <c r="N28" s="163"/>
      <c r="O28" s="163"/>
      <c r="P28" s="163"/>
    </row>
    <row r="29" spans="2:16" x14ac:dyDescent="0.25">
      <c r="B29" s="64" t="str">
        <f>Poder!B10</f>
        <v>Actor 1:</v>
      </c>
      <c r="C29" s="16"/>
      <c r="D29" s="17"/>
      <c r="E29" s="22"/>
      <c r="F29" s="67">
        <f>IF(AND(C29=$N$37,D29=$O$37,E29=$P$37),$M$37,IF(AND(C29=$N$34,D29=$P$34),$M$34,IF(AND(C29=$N$35,E29=$O$35),$M$35,IF(AND(D29=$O$36,E29=$P$36),$M$36,IF(AND(C29=$N$31),$M$31,IF(AND(D29=$P$33),$M$33,IF(AND(E29=$O$32),$M$32,)))))))</f>
        <v>0</v>
      </c>
      <c r="L29" s="161" t="s">
        <v>73</v>
      </c>
      <c r="M29" s="162" t="s">
        <v>63</v>
      </c>
      <c r="N29" s="162" t="s">
        <v>74</v>
      </c>
      <c r="O29" s="162"/>
      <c r="P29" s="162"/>
    </row>
    <row r="30" spans="2:16" x14ac:dyDescent="0.25">
      <c r="B30" s="65" t="str">
        <f>Poder!B11</f>
        <v xml:space="preserve">Actor 2: </v>
      </c>
      <c r="C30" s="18"/>
      <c r="D30" s="19"/>
      <c r="E30" s="23"/>
      <c r="F30" s="67">
        <f t="shared" ref="F30:F38" si="4">IF(AND(C30=$N$37,D30=$O$37,E30=$P$37),$M$37,IF(AND(C30=$N$34,D30=$P$34),$M$34,IF(AND(C30=$N$35,E30=$O$35),$M$35,IF(AND(D30=$O$36,E30=$P$36),$M$36,IF(AND(C30=$N$31),$M$31,IF(AND(D30=$P$33),$M$33,IF(AND(E30=$O$32),$M$32,)))))))</f>
        <v>0</v>
      </c>
      <c r="L30" s="161"/>
      <c r="M30" s="162"/>
      <c r="N30" s="25" t="s">
        <v>65</v>
      </c>
      <c r="O30" s="25" t="s">
        <v>75</v>
      </c>
      <c r="P30" s="25" t="s">
        <v>76</v>
      </c>
    </row>
    <row r="31" spans="2:16" x14ac:dyDescent="0.25">
      <c r="B31" s="65" t="str">
        <f>Poder!B12</f>
        <v>Actor 3:</v>
      </c>
      <c r="C31" s="18"/>
      <c r="D31" s="19"/>
      <c r="E31" s="23"/>
      <c r="F31" s="67">
        <f t="shared" si="4"/>
        <v>0</v>
      </c>
      <c r="L31" s="159" t="s">
        <v>85</v>
      </c>
      <c r="M31" s="26" t="s">
        <v>77</v>
      </c>
      <c r="N31" s="27" t="s">
        <v>80</v>
      </c>
      <c r="O31" s="27"/>
      <c r="P31" s="27"/>
    </row>
    <row r="32" spans="2:16" x14ac:dyDescent="0.25">
      <c r="B32" s="65" t="str">
        <f>Poder!B13</f>
        <v>Actor 4:</v>
      </c>
      <c r="C32" s="18"/>
      <c r="D32" s="19"/>
      <c r="E32" s="23"/>
      <c r="F32" s="67">
        <f t="shared" si="4"/>
        <v>0</v>
      </c>
      <c r="L32" s="160"/>
      <c r="M32" s="26" t="s">
        <v>78</v>
      </c>
      <c r="N32" s="27"/>
      <c r="O32" s="27" t="s">
        <v>80</v>
      </c>
      <c r="P32" s="27"/>
    </row>
    <row r="33" spans="2:16" x14ac:dyDescent="0.25">
      <c r="B33" s="65" t="str">
        <f>Poder!B14</f>
        <v>Actor 5:</v>
      </c>
      <c r="C33" s="18"/>
      <c r="D33" s="19"/>
      <c r="E33" s="23"/>
      <c r="F33" s="67">
        <f t="shared" si="4"/>
        <v>0</v>
      </c>
      <c r="L33" s="160"/>
      <c r="M33" s="26" t="s">
        <v>79</v>
      </c>
      <c r="N33" s="27"/>
      <c r="O33" s="27"/>
      <c r="P33" s="27" t="s">
        <v>80</v>
      </c>
    </row>
    <row r="34" spans="2:16" x14ac:dyDescent="0.25">
      <c r="B34" s="65" t="str">
        <f>Poder!B15</f>
        <v>Actor 6:</v>
      </c>
      <c r="C34" s="18"/>
      <c r="D34" s="19"/>
      <c r="E34" s="23"/>
      <c r="F34" s="67">
        <f t="shared" si="4"/>
        <v>0</v>
      </c>
      <c r="L34" s="160" t="s">
        <v>86</v>
      </c>
      <c r="M34" s="1" t="s">
        <v>81</v>
      </c>
      <c r="N34" s="27" t="s">
        <v>80</v>
      </c>
      <c r="O34" s="27"/>
      <c r="P34" s="27" t="s">
        <v>80</v>
      </c>
    </row>
    <row r="35" spans="2:16" x14ac:dyDescent="0.25">
      <c r="B35" s="65" t="str">
        <f>Poder!B16</f>
        <v>Actor 7:</v>
      </c>
      <c r="C35" s="18"/>
      <c r="D35" s="19"/>
      <c r="E35" s="23"/>
      <c r="F35" s="67">
        <f t="shared" si="4"/>
        <v>0</v>
      </c>
      <c r="L35" s="160"/>
      <c r="M35" s="1" t="s">
        <v>82</v>
      </c>
      <c r="N35" s="27" t="s">
        <v>80</v>
      </c>
      <c r="O35" s="27" t="s">
        <v>80</v>
      </c>
      <c r="P35" s="27"/>
    </row>
    <row r="36" spans="2:16" x14ac:dyDescent="0.25">
      <c r="B36" s="65" t="str">
        <f>Poder!B17</f>
        <v>Actor 8:</v>
      </c>
      <c r="C36" s="18"/>
      <c r="D36" s="19"/>
      <c r="E36" s="23"/>
      <c r="F36" s="67">
        <f t="shared" si="4"/>
        <v>0</v>
      </c>
      <c r="L36" s="160"/>
      <c r="M36" s="1" t="s">
        <v>83</v>
      </c>
      <c r="N36" s="27"/>
      <c r="O36" s="27" t="s">
        <v>80</v>
      </c>
      <c r="P36" s="27" t="s">
        <v>80</v>
      </c>
    </row>
    <row r="37" spans="2:16" x14ac:dyDescent="0.25">
      <c r="B37" s="65" t="str">
        <f>Poder!B18</f>
        <v>Actor 9:</v>
      </c>
      <c r="C37" s="18"/>
      <c r="D37" s="19"/>
      <c r="E37" s="23"/>
      <c r="F37" s="67">
        <f t="shared" si="4"/>
        <v>0</v>
      </c>
      <c r="L37" s="28" t="s">
        <v>87</v>
      </c>
      <c r="M37" s="1" t="s">
        <v>84</v>
      </c>
      <c r="N37" s="27" t="s">
        <v>80</v>
      </c>
      <c r="O37" s="27" t="s">
        <v>80</v>
      </c>
      <c r="P37" s="27" t="s">
        <v>80</v>
      </c>
    </row>
    <row r="38" spans="2:16" ht="15.75" thickBot="1" x14ac:dyDescent="0.3">
      <c r="B38" s="66" t="str">
        <f>Poder!B19</f>
        <v>Actor 10:</v>
      </c>
      <c r="C38" s="20"/>
      <c r="D38" s="21"/>
      <c r="E38" s="24"/>
      <c r="F38" s="68">
        <f t="shared" si="4"/>
        <v>0</v>
      </c>
      <c r="L38" s="29"/>
      <c r="M38" s="29"/>
      <c r="N38" s="29"/>
      <c r="O38" s="29"/>
      <c r="P38" s="29"/>
    </row>
  </sheetData>
  <sheetProtection algorithmName="SHA-512" hashValue="jDmZX8Yiu7qWX4KxU2R+11h5SrzI2jWvxKYw2xim8kfPeu5UgWh7g4Wrwa01q1oYNeC1TucIEsxQUn04O5ICpA==" saltValue="PL/G+DNlJVNE4xcm+RzFCQ==" spinCount="100000" sheet="1" formatCells="0" formatColumns="0" formatRows="0" insertRows="0" deleteRows="0" selectLockedCells="1"/>
  <mergeCells count="20">
    <mergeCell ref="G2:I2"/>
    <mergeCell ref="B4:I4"/>
    <mergeCell ref="C7:D7"/>
    <mergeCell ref="E7:F7"/>
    <mergeCell ref="G7:H7"/>
    <mergeCell ref="B7:B8"/>
    <mergeCell ref="I7:I8"/>
    <mergeCell ref="C5:I5"/>
    <mergeCell ref="C6:I6"/>
    <mergeCell ref="B2:E2"/>
    <mergeCell ref="L27:P28"/>
    <mergeCell ref="B27:F27"/>
    <mergeCell ref="D19:D24"/>
    <mergeCell ref="F19:F24"/>
    <mergeCell ref="H19:I24"/>
    <mergeCell ref="L31:L33"/>
    <mergeCell ref="L34:L36"/>
    <mergeCell ref="L29:L30"/>
    <mergeCell ref="M29:M30"/>
    <mergeCell ref="N29:P29"/>
  </mergeCells>
  <pageMargins left="0.7" right="0.7" top="0.75" bottom="0.75" header="0.3" footer="0.3"/>
  <pageSetup paperSize="8" orientation="portrait" r:id="rId1"/>
  <headerFooter>
    <oddHeader>&amp;L&amp;"-,Bold"Preparado por:&amp;"-,Regular" Lic. Numa Sebastián Calle Lituma, Mg. MBA.&amp;R&amp;"-,Bold"Fuente:&amp;"-,Regular" Mitchell et. al. 1997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Poder</vt:lpstr>
      <vt:lpstr>Legitimidad</vt:lpstr>
      <vt:lpstr>Urgencia</vt:lpstr>
      <vt:lpstr>Consolidación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Numa Sebastian Calle Lituma</cp:lastModifiedBy>
  <cp:lastPrinted>2021-06-25T01:09:53Z</cp:lastPrinted>
  <dcterms:created xsi:type="dcterms:W3CDTF">2020-10-13T16:55:38Z</dcterms:created>
  <dcterms:modified xsi:type="dcterms:W3CDTF">2025-07-17T15:01:44Z</dcterms:modified>
</cp:coreProperties>
</file>