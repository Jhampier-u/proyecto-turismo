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JD\Desktop\Universidades\Asignaturas ESPOL\Fundamentos de Planificación Turística\Herreamientas Libro\Contextualización Turística Territorial\"/>
    </mc:Choice>
  </mc:AlternateContent>
  <xr:revisionPtr revIDLastSave="0" documentId="13_ncr:1_{209406B4-1197-4FA1-9039-6531EAA8CC28}" xr6:coauthVersionLast="47" xr6:coauthVersionMax="47" xr10:uidLastSave="{00000000-0000-0000-0000-000000000000}"/>
  <bookViews>
    <workbookView showSheetTabs="0" xWindow="-120" yWindow="-120" windowWidth="20730" windowHeight="11160" xr2:uid="{57AA2BD7-74D1-486F-81DF-76630A5788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5" i="1" l="1"/>
  <c r="L36" i="1"/>
  <c r="L37" i="1"/>
  <c r="L38" i="1"/>
  <c r="L39" i="1"/>
  <c r="L34" i="1"/>
  <c r="D35" i="1"/>
  <c r="D36" i="1"/>
  <c r="D37" i="1"/>
  <c r="D38" i="1"/>
  <c r="D39" i="1"/>
  <c r="D34" i="1"/>
  <c r="L32" i="1"/>
  <c r="M32" i="1" s="1"/>
  <c r="D32" i="1"/>
  <c r="E32" i="1" s="1"/>
  <c r="M31" i="1"/>
  <c r="M30" i="1"/>
  <c r="M29" i="1"/>
  <c r="M28" i="1"/>
  <c r="M27" i="1"/>
  <c r="M26" i="1"/>
  <c r="E27" i="1"/>
  <c r="E28" i="1"/>
  <c r="E29" i="1"/>
  <c r="E30" i="1"/>
  <c r="E31" i="1"/>
  <c r="E26" i="1"/>
</calcChain>
</file>

<file path=xl/sharedStrings.xml><?xml version="1.0" encoding="utf-8"?>
<sst xmlns="http://schemas.openxmlformats.org/spreadsheetml/2006/main" count="104" uniqueCount="62">
  <si>
    <r>
      <rPr>
        <b/>
        <sz val="11"/>
        <color theme="1"/>
        <rFont val="Aptos Narrow"/>
        <family val="2"/>
        <scheme val="minor"/>
      </rPr>
      <t>Elaborado por:</t>
    </r>
    <r>
      <rPr>
        <sz val="11"/>
        <color theme="1"/>
        <rFont val="Aptos Narrow"/>
        <family val="2"/>
        <scheme val="minor"/>
      </rPr>
      <t xml:space="preserve"> Lic. Numa Sebastián Calle Lituma, Esp. Mg. MBA. PhD. y Lic. Ronal Edison Chaca Espinoza, Mg. PhD.</t>
    </r>
  </si>
  <si>
    <t>Índice de Irritación Turística (IIT)</t>
  </si>
  <si>
    <t>Visitantes</t>
  </si>
  <si>
    <t>Localidad Receptora</t>
  </si>
  <si>
    <t>Dónde</t>
  </si>
  <si>
    <r>
      <rPr>
        <b/>
        <sz val="11"/>
        <color theme="1"/>
        <rFont val="Aptos Narrow"/>
        <family val="2"/>
        <scheme val="minor"/>
      </rPr>
      <t>Cg =</t>
    </r>
    <r>
      <rPr>
        <sz val="11"/>
        <color theme="1"/>
        <rFont val="Aptos Narrow"/>
        <family val="2"/>
        <scheme val="minor"/>
      </rPr>
      <t xml:space="preserve"> Congestión de visitantes que se encuentran en el destino</t>
    </r>
  </si>
  <si>
    <r>
      <rPr>
        <b/>
        <sz val="11"/>
        <color theme="1"/>
        <rFont val="Aptos Narrow"/>
        <family val="2"/>
        <scheme val="minor"/>
      </rPr>
      <t>Cs =</t>
    </r>
    <r>
      <rPr>
        <sz val="11"/>
        <color theme="1"/>
        <rFont val="Aptos Narrow"/>
        <family val="2"/>
        <scheme val="minor"/>
      </rPr>
      <t xml:space="preserve"> Calidad percibida de los servicios y/o productos turísticos en el destino</t>
    </r>
  </si>
  <si>
    <r>
      <rPr>
        <b/>
        <sz val="11"/>
        <color theme="1"/>
        <rFont val="Aptos Narrow"/>
        <family val="2"/>
        <scheme val="minor"/>
      </rPr>
      <t>Ca =</t>
    </r>
    <r>
      <rPr>
        <sz val="11"/>
        <color theme="1"/>
        <rFont val="Aptos Narrow"/>
        <family val="2"/>
        <scheme val="minor"/>
      </rPr>
      <t xml:space="preserve"> Calidad percibida de las actividades turísticas y recreativas en el destino</t>
    </r>
  </si>
  <si>
    <r>
      <rPr>
        <b/>
        <sz val="11"/>
        <color theme="1"/>
        <rFont val="Aptos Narrow"/>
        <family val="2"/>
        <scheme val="minor"/>
      </rPr>
      <t>Sd =</t>
    </r>
    <r>
      <rPr>
        <sz val="11"/>
        <color theme="1"/>
        <rFont val="Aptos Narrow"/>
        <family val="2"/>
        <scheme val="minor"/>
      </rPr>
      <t xml:space="preserve"> Seguridad percibida en el destino por parte de los visitantes</t>
    </r>
  </si>
  <si>
    <r>
      <rPr>
        <b/>
        <sz val="11"/>
        <color theme="1"/>
        <rFont val="Aptos Narrow"/>
        <family val="2"/>
        <scheme val="minor"/>
      </rPr>
      <t xml:space="preserve">Is = </t>
    </r>
    <r>
      <rPr>
        <sz val="11"/>
        <color theme="1"/>
        <rFont val="Aptos Narrow"/>
        <family val="2"/>
        <scheme val="minor"/>
      </rPr>
      <t>Impacto social percibido por la localidad por efectos del turismo</t>
    </r>
  </si>
  <si>
    <r>
      <rPr>
        <b/>
        <sz val="11"/>
        <color theme="1"/>
        <rFont val="Aptos Narrow"/>
        <family val="2"/>
        <scheme val="minor"/>
      </rPr>
      <t>Ie =</t>
    </r>
    <r>
      <rPr>
        <sz val="11"/>
        <color theme="1"/>
        <rFont val="Aptos Narrow"/>
        <family val="2"/>
        <scheme val="minor"/>
      </rPr>
      <t xml:space="preserve"> Impacto económico percibido por la localidad por efectos del turismo</t>
    </r>
  </si>
  <si>
    <r>
      <rPr>
        <b/>
        <sz val="11"/>
        <color theme="1"/>
        <rFont val="Aptos Narrow"/>
        <family val="2"/>
        <scheme val="minor"/>
      </rPr>
      <t>Ia =</t>
    </r>
    <r>
      <rPr>
        <sz val="11"/>
        <color theme="1"/>
        <rFont val="Aptos Narrow"/>
        <family val="2"/>
        <scheme val="minor"/>
      </rPr>
      <t xml:space="preserve"> Impacto ambiental percibido por la localidad por efectos del turismo</t>
    </r>
  </si>
  <si>
    <r>
      <rPr>
        <b/>
        <sz val="11"/>
        <color theme="1"/>
        <rFont val="Aptos Narrow"/>
        <family val="2"/>
        <scheme val="minor"/>
      </rPr>
      <t xml:space="preserve">Cv </t>
    </r>
    <r>
      <rPr>
        <sz val="11"/>
        <color theme="1"/>
        <rFont val="Aptos Narrow"/>
        <family val="2"/>
        <scheme val="minor"/>
      </rPr>
      <t>= Calidad de vida de la localidad percibida por los residentes</t>
    </r>
  </si>
  <si>
    <r>
      <rPr>
        <b/>
        <sz val="11"/>
        <color theme="1"/>
        <rFont val="Aptos Narrow"/>
        <family val="2"/>
        <scheme val="minor"/>
      </rPr>
      <t>Ga=</t>
    </r>
    <r>
      <rPr>
        <sz val="11"/>
        <color theme="1"/>
        <rFont val="Aptos Narrow"/>
        <family val="2"/>
        <scheme val="minor"/>
      </rPr>
      <t xml:space="preserve"> Grado de apertura u hospitalidad de la localidad receptora hacia los visitantes</t>
    </r>
  </si>
  <si>
    <r>
      <rPr>
        <b/>
        <sz val="11"/>
        <color theme="1"/>
        <rFont val="Aptos Narrow"/>
        <family val="2"/>
        <scheme val="minor"/>
      </rPr>
      <t>Sd =</t>
    </r>
    <r>
      <rPr>
        <sz val="11"/>
        <color theme="1"/>
        <rFont val="Aptos Narrow"/>
        <family val="2"/>
        <scheme val="minor"/>
      </rPr>
      <t xml:space="preserve"> Seguridad percibida en el destino por parte de los residentes</t>
    </r>
  </si>
  <si>
    <t>Bajo</t>
  </si>
  <si>
    <t>Moderado</t>
  </si>
  <si>
    <t>Crítico</t>
  </si>
  <si>
    <t>Menor a 2</t>
  </si>
  <si>
    <t>De 3 a 5</t>
  </si>
  <si>
    <t>Clasificación</t>
  </si>
  <si>
    <t>0, 1, 2</t>
  </si>
  <si>
    <t>Rango</t>
  </si>
  <si>
    <t>Valores del Rango</t>
  </si>
  <si>
    <t>Tabla de Datos</t>
  </si>
  <si>
    <t>Calidad percibida de actividades turísticas</t>
  </si>
  <si>
    <t>Calidad percibida de productos y/o servicios</t>
  </si>
  <si>
    <t>Congestión de visitantes</t>
  </si>
  <si>
    <t>Valor Asignado</t>
  </si>
  <si>
    <t>3, 4 ,5, 6</t>
  </si>
  <si>
    <t>7, 8, 9, 10</t>
  </si>
  <si>
    <t>Calidad de vida de la localidad percibida por el visitante</t>
  </si>
  <si>
    <t>Grado de apertura u hospitalidad percibida</t>
  </si>
  <si>
    <t>Seguridad percibida por el visitante</t>
  </si>
  <si>
    <t>Promedio de Atributos</t>
  </si>
  <si>
    <t>Atributos Analizados</t>
  </si>
  <si>
    <t>Impacto social percibido por el residente</t>
  </si>
  <si>
    <t>Impacto económico percibido por el residente</t>
  </si>
  <si>
    <t>Impacto ambiental percibido por el residente</t>
  </si>
  <si>
    <t>Calidad de vida de la localidad percibida por el residente</t>
  </si>
  <si>
    <t>Seguridad percibida por el residente</t>
  </si>
  <si>
    <t>Cg</t>
  </si>
  <si>
    <t>Cs</t>
  </si>
  <si>
    <t>Ca</t>
  </si>
  <si>
    <t>Ga</t>
  </si>
  <si>
    <t>Cv</t>
  </si>
  <si>
    <t>Sd</t>
  </si>
  <si>
    <t>Is</t>
  </si>
  <si>
    <t>Ie</t>
  </si>
  <si>
    <t>Ia</t>
  </si>
  <si>
    <t>Interpretación de Resultados</t>
  </si>
  <si>
    <r>
      <rPr>
        <b/>
        <sz val="11"/>
        <color theme="1"/>
        <rFont val="Aptos Narrow"/>
        <family val="2"/>
        <scheme val="minor"/>
      </rPr>
      <t>Cv =</t>
    </r>
    <r>
      <rPr>
        <sz val="11"/>
        <color theme="1"/>
        <rFont val="Aptos Narrow"/>
        <family val="2"/>
        <scheme val="minor"/>
      </rPr>
      <t xml:space="preserve"> Calidad de vida de la localidad percibida por los visitantes</t>
    </r>
  </si>
  <si>
    <t>Escala Valorativa (Relación Inversa)</t>
  </si>
  <si>
    <t>Intepretación</t>
  </si>
  <si>
    <t>Los visitantes presentan un nivel de aceptación amplio hacia el destino, sitio o lugar y su dinámica turística.</t>
  </si>
  <si>
    <t>Los visitantes empiezan a expresar descontento por la dinámica turística que se desarrolla en el lugar.</t>
  </si>
  <si>
    <t>Los visitantes se encuentran en un estado de insatisfacción con la dinámica turística del sitio o lugar.</t>
  </si>
  <si>
    <t>De 3 a 6</t>
  </si>
  <si>
    <t>Desde 7</t>
  </si>
  <si>
    <t>Los residentes presentan un nivel de aceptación amplio hacia el destino, sitio o lugar y su dinámica turística.</t>
  </si>
  <si>
    <t>Los residentes empiezan a expresar descontento por la dinámica turística que se desarrolla en el lugar.</t>
  </si>
  <si>
    <t>Los residentes se encuentran en un estado de insatisfacción con la dinámica turística del sitio o lugar.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</si>
</sst>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7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dashDotDot">
        <color auto="1"/>
      </left>
      <right/>
      <top style="dashDotDot">
        <color auto="1"/>
      </top>
      <bottom/>
      <diagonal/>
    </border>
    <border>
      <left/>
      <right style="dashDotDot">
        <color auto="1"/>
      </right>
      <top style="dashDotDot">
        <color auto="1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 applyProtection="1">
      <protection locked="0"/>
    </xf>
    <xf numFmtId="0" fontId="6" fillId="0" borderId="0" xfId="0" applyFont="1" applyProtection="1"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5" fillId="2" borderId="0" xfId="0" applyFont="1" applyFill="1"/>
    <xf numFmtId="0" fontId="0" fillId="2" borderId="0" xfId="0" applyFill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0" fillId="2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right" vertical="center" wrapText="1"/>
    </xf>
    <xf numFmtId="0" fontId="1" fillId="4" borderId="3" xfId="0" applyFont="1" applyFill="1" applyBorder="1" applyAlignment="1">
      <alignment horizontal="right" vertical="center" wrapText="1"/>
    </xf>
    <xf numFmtId="0" fontId="1" fillId="4" borderId="4" xfId="0" applyFont="1" applyFill="1" applyBorder="1" applyAlignment="1">
      <alignment horizontal="right" vertical="center" wrapText="1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0" fillId="2" borderId="2" xfId="0" applyFill="1" applyBorder="1" applyAlignment="1" applyProtection="1">
      <alignment horizontal="left" vertical="center"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6">
    <dxf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  <dxf>
      <fill>
        <patternFill>
          <bgColor theme="9" tint="-0.499984740745262"/>
        </patternFill>
      </fill>
    </dxf>
    <dxf>
      <fill>
        <patternFill>
          <bgColor rgb="FFFFC000"/>
        </patternFill>
      </fill>
    </dxf>
    <dxf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BF2E28B9-DD53-48BC-9F49-71A443F323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b="1"/>
              <a:t>Atributos Visitantes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Hoja1!$A$34:$A$39</c:f>
              <c:strCache>
                <c:ptCount val="6"/>
                <c:pt idx="0">
                  <c:v>Cg</c:v>
                </c:pt>
                <c:pt idx="1">
                  <c:v>Cs</c:v>
                </c:pt>
                <c:pt idx="2">
                  <c:v>Ca</c:v>
                </c:pt>
                <c:pt idx="3">
                  <c:v>Cv</c:v>
                </c:pt>
                <c:pt idx="4">
                  <c:v>Ga</c:v>
                </c:pt>
                <c:pt idx="5">
                  <c:v>Sd</c:v>
                </c:pt>
              </c:strCache>
            </c:strRef>
          </c:cat>
          <c:val>
            <c:numRef>
              <c:f>Hoja1!$B$34:$B$39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3E13-4F7F-8050-ED7725B0763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Hoja1!$A$34:$A$39</c:f>
              <c:strCache>
                <c:ptCount val="6"/>
                <c:pt idx="0">
                  <c:v>Cg</c:v>
                </c:pt>
                <c:pt idx="1">
                  <c:v>Cs</c:v>
                </c:pt>
                <c:pt idx="2">
                  <c:v>Ca</c:v>
                </c:pt>
                <c:pt idx="3">
                  <c:v>Cv</c:v>
                </c:pt>
                <c:pt idx="4">
                  <c:v>Ga</c:v>
                </c:pt>
                <c:pt idx="5">
                  <c:v>Sd</c:v>
                </c:pt>
              </c:strCache>
            </c:strRef>
          </c:cat>
          <c:val>
            <c:numRef>
              <c:f>Hoja1!$C$34:$C$39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3E13-4F7F-8050-ED7725B07632}"/>
            </c:ext>
          </c:extLst>
        </c:ser>
        <c:ser>
          <c:idx val="2"/>
          <c:order val="2"/>
          <c:spPr>
            <a:ln w="44450" cap="rnd" cmpd="sng">
              <a:solidFill>
                <a:srgbClr val="7030A0"/>
              </a:solidFill>
            </a:ln>
            <a:effectLst>
              <a:glow rad="63500">
                <a:srgbClr val="7030A0">
                  <a:alpha val="40000"/>
                </a:srgb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 w="15875">
                <a:solidFill>
                  <a:srgbClr val="C00000"/>
                </a:solidFill>
              </a:ln>
              <a:effectLst>
                <a:glow rad="63500">
                  <a:srgbClr val="7030A0">
                    <a:alpha val="40000"/>
                  </a:srgbClr>
                </a:glow>
              </a:effectLst>
            </c:spPr>
          </c:marker>
          <c:cat>
            <c:strRef>
              <c:f>Hoja1!$A$34:$A$39</c:f>
              <c:strCache>
                <c:ptCount val="6"/>
                <c:pt idx="0">
                  <c:v>Cg</c:v>
                </c:pt>
                <c:pt idx="1">
                  <c:v>Cs</c:v>
                </c:pt>
                <c:pt idx="2">
                  <c:v>Ca</c:v>
                </c:pt>
                <c:pt idx="3">
                  <c:v>Cv</c:v>
                </c:pt>
                <c:pt idx="4">
                  <c:v>Ga</c:v>
                </c:pt>
                <c:pt idx="5">
                  <c:v>Sd</c:v>
                </c:pt>
              </c:strCache>
            </c:strRef>
          </c:cat>
          <c:val>
            <c:numRef>
              <c:f>Hoja1!$D$34:$D$39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13-4F7F-8050-ED7725B07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461344"/>
        <c:axId val="1009457504"/>
      </c:radarChart>
      <c:catAx>
        <c:axId val="100946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9457504"/>
        <c:crosses val="autoZero"/>
        <c:auto val="1"/>
        <c:lblAlgn val="ctr"/>
        <c:lblOffset val="100"/>
        <c:noMultiLvlLbl val="0"/>
      </c:catAx>
      <c:valAx>
        <c:axId val="100945750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946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 b="1"/>
              <a:t>Atributos Residentes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44450" cap="flat" cmpd="sng" algn="ctr">
              <a:solidFill>
                <a:schemeClr val="accent4"/>
              </a:solidFill>
              <a:prstDash val="solid"/>
              <a:miter lim="800000"/>
            </a:ln>
            <a:effectLst>
              <a:glow rad="63500">
                <a:schemeClr val="accent1">
                  <a:satMod val="175000"/>
                  <a:alpha val="40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 w="15875">
                <a:solidFill>
                  <a:srgbClr val="C00000"/>
                </a:solidFill>
              </a:ln>
              <a:effectLst>
                <a:glow rad="63500">
                  <a:schemeClr val="accent1">
                    <a:satMod val="175000"/>
                    <a:alpha val="40000"/>
                  </a:schemeClr>
                </a:glow>
              </a:effectLst>
            </c:spPr>
          </c:marker>
          <c:cat>
            <c:strRef>
              <c:f>Hoja1!$I$34:$K$39</c:f>
              <c:strCache>
                <c:ptCount val="6"/>
                <c:pt idx="0">
                  <c:v>Cg</c:v>
                </c:pt>
                <c:pt idx="1">
                  <c:v>Is</c:v>
                </c:pt>
                <c:pt idx="2">
                  <c:v>Ie</c:v>
                </c:pt>
                <c:pt idx="3">
                  <c:v>Ia</c:v>
                </c:pt>
                <c:pt idx="4">
                  <c:v>Cv</c:v>
                </c:pt>
                <c:pt idx="5">
                  <c:v>Sd</c:v>
                </c:pt>
              </c:strCache>
            </c:strRef>
          </c:cat>
          <c:val>
            <c:numRef>
              <c:f>Hoja1!$L$34:$L$39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FC-4FDD-9652-0EB089346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358144"/>
        <c:axId val="1009357664"/>
      </c:radarChart>
      <c:catAx>
        <c:axId val="100935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009357664"/>
        <c:crosses val="autoZero"/>
        <c:auto val="1"/>
        <c:lblAlgn val="ctr"/>
        <c:lblOffset val="100"/>
        <c:noMultiLvlLbl val="0"/>
      </c:catAx>
      <c:valAx>
        <c:axId val="10093576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0935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57150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371474</xdr:colOff>
      <xdr:row>7</xdr:row>
      <xdr:rowOff>56165</xdr:rowOff>
    </xdr:from>
    <xdr:ext cx="3333751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82EC5FD-6FB4-02F9-6EF0-02E1D0F81D84}"/>
                </a:ext>
              </a:extLst>
            </xdr:cNvPr>
            <xdr:cNvSpPr txBox="1"/>
          </xdr:nvSpPr>
          <xdr:spPr>
            <a:xfrm>
              <a:off x="371474" y="1418240"/>
              <a:ext cx="3333751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C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C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𝑰𝑰𝑻</m:t>
                        </m:r>
                      </m:e>
                      <m:sub>
                        <m:r>
                          <a:rPr lang="es-EC" sz="1400" b="1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𝒗</m:t>
                        </m:r>
                      </m:sub>
                    </m:sSub>
                    <m:r>
                      <a:rPr lang="es-EC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l-GR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𝚺</m:t>
                    </m:r>
                    <m:r>
                      <m:rPr>
                        <m:nor/>
                      </m:rPr>
                      <a:rPr lang="es-EC" sz="14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x</m:t>
                    </m:r>
                    <m:r>
                      <m:rPr>
                        <m:nor/>
                      </m:rPr>
                      <a:rPr lang="es-EC" sz="14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̅</m:t>
                    </m:r>
                    <m:r>
                      <a:rPr lang="es-E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d>
                      <m:dPr>
                        <m:ctrlP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𝐶𝑔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𝐶𝑠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𝐶𝑎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𝐶𝑣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𝐺𝑎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r>
                          <a:rPr lang="es-EC" sz="14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𝑆𝑑</m:t>
                        </m:r>
                      </m:e>
                    </m:d>
                  </m:oMath>
                </m:oMathPara>
              </a14:m>
              <a:endParaRPr lang="es-EC" sz="14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E82EC5FD-6FB4-02F9-6EF0-02E1D0F81D84}"/>
                </a:ext>
              </a:extLst>
            </xdr:cNvPr>
            <xdr:cNvSpPr txBox="1"/>
          </xdr:nvSpPr>
          <xdr:spPr>
            <a:xfrm>
              <a:off x="371474" y="1418240"/>
              <a:ext cx="3333751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C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〖𝑰𝑰𝑻〗_𝒗=</a:t>
              </a:r>
              <a:r>
                <a:rPr lang="el-GR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𝚺</a:t>
              </a:r>
              <a:r>
                <a:rPr lang="es-EC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"x̅</a:t>
              </a:r>
              <a:r>
                <a:rPr lang="es-ES" sz="1400" b="1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 </a:t>
              </a:r>
              <a:r>
                <a:rPr lang="es-EC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(𝐶𝑔+𝐶𝑠+𝐶𝑎+𝐶𝑣+𝐺𝑎+𝑆𝑑)</a:t>
              </a:r>
              <a:endParaRPr lang="es-EC" sz="1400"/>
            </a:p>
          </xdr:txBody>
        </xdr:sp>
      </mc:Fallback>
    </mc:AlternateContent>
    <xdr:clientData/>
  </xdr:oneCellAnchor>
  <xdr:oneCellAnchor>
    <xdr:from>
      <xdr:col>8</xdr:col>
      <xdr:colOff>533399</xdr:colOff>
      <xdr:row>7</xdr:row>
      <xdr:rowOff>57150</xdr:rowOff>
    </xdr:from>
    <xdr:ext cx="3133725" cy="22544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7D309558-0ED1-4D72-BE99-A751623750FA}"/>
                </a:ext>
              </a:extLst>
            </xdr:cNvPr>
            <xdr:cNvSpPr txBox="1"/>
          </xdr:nvSpPr>
          <xdr:spPr>
            <a:xfrm>
              <a:off x="6886574" y="1419225"/>
              <a:ext cx="313372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C" sz="1400" b="1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C" sz="1400" b="1" i="1">
                            <a:latin typeface="Cambria Math" panose="02040503050406030204" pitchFamily="18" charset="0"/>
                          </a:rPr>
                          <m:t>𝑰𝑰𝑻</m:t>
                        </m:r>
                      </m:e>
                      <m:sub>
                        <m:r>
                          <a:rPr lang="es-EC" sz="1400" b="1" i="1">
                            <a:latin typeface="Cambria Math" panose="02040503050406030204" pitchFamily="18" charset="0"/>
                          </a:rPr>
                          <m:t>𝒍</m:t>
                        </m:r>
                      </m:sub>
                    </m:sSub>
                    <m:r>
                      <a:rPr lang="es-EC" sz="1400" b="1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l-GR" sz="1400" b="1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𝚺</m:t>
                    </m:r>
                    <m:r>
                      <m:rPr>
                        <m:nor/>
                      </m:rPr>
                      <a:rPr lang="es-EC" sz="14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x</m:t>
                    </m:r>
                    <m:r>
                      <m:rPr>
                        <m:nor/>
                      </m:rPr>
                      <a:rPr lang="es-EC" sz="14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̅</m:t>
                    </m:r>
                    <m:r>
                      <a:rPr lang="es-ES" sz="1400" b="1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(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𝐶𝑔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𝐼𝑠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𝐼𝑒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𝐼𝑎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𝐶𝑣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𝑆𝑑</m:t>
                    </m:r>
                    <m:r>
                      <a:rPr lang="es-EC" sz="14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</m:oMath>
                </m:oMathPara>
              </a14:m>
              <a:endParaRPr lang="es-EC" sz="14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7D309558-0ED1-4D72-BE99-A751623750FA}"/>
                </a:ext>
              </a:extLst>
            </xdr:cNvPr>
            <xdr:cNvSpPr txBox="1"/>
          </xdr:nvSpPr>
          <xdr:spPr>
            <a:xfrm>
              <a:off x="6886574" y="1419225"/>
              <a:ext cx="3133725" cy="22544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s-EC" sz="1400" b="1" i="0">
                  <a:latin typeface="Cambria Math" panose="02040503050406030204" pitchFamily="18" charset="0"/>
                </a:rPr>
                <a:t>〖𝑰𝑰𝑻〗_𝒍=</a:t>
              </a:r>
              <a:r>
                <a:rPr lang="el-GR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𝚺</a:t>
              </a:r>
              <a:r>
                <a:rPr lang="es-EC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"x̅</a:t>
              </a:r>
              <a:r>
                <a:rPr lang="es-ES" sz="14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" </a:t>
              </a:r>
              <a:r>
                <a:rPr lang="es-EC" sz="14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(𝐶𝑔+𝐼𝑠+𝐼𝑒+𝐼𝑎+𝐶𝑣+𝑆𝑑)</a:t>
              </a:r>
              <a:endParaRPr lang="es-EC" sz="1400"/>
            </a:p>
          </xdr:txBody>
        </xdr:sp>
      </mc:Fallback>
    </mc:AlternateContent>
    <xdr:clientData/>
  </xdr:oneCellAnchor>
  <xdr:twoCellAnchor>
    <xdr:from>
      <xdr:col>0</xdr:col>
      <xdr:colOff>0</xdr:colOff>
      <xdr:row>32</xdr:row>
      <xdr:rowOff>147637</xdr:rowOff>
    </xdr:from>
    <xdr:to>
      <xdr:col>6</xdr:col>
      <xdr:colOff>752475</xdr:colOff>
      <xdr:row>51</xdr:row>
      <xdr:rowOff>161925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58AA464-9229-5863-3186-A1A4A12748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752474</xdr:colOff>
      <xdr:row>32</xdr:row>
      <xdr:rowOff>133350</xdr:rowOff>
    </xdr:from>
    <xdr:to>
      <xdr:col>15</xdr:col>
      <xdr:colOff>114299</xdr:colOff>
      <xdr:row>52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F39E433-59C5-9E80-71CF-B7A15CE11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016F-D510-4276-968E-F195316A6140}">
  <dimension ref="A2:O58"/>
  <sheetViews>
    <sheetView tabSelected="1" workbookViewId="0">
      <selection activeCell="O29" sqref="O29"/>
    </sheetView>
  </sheetViews>
  <sheetFormatPr baseColWidth="10" defaultColWidth="11.42578125" defaultRowHeight="15" x14ac:dyDescent="0.25"/>
  <cols>
    <col min="1" max="1" width="11.42578125" style="1"/>
    <col min="2" max="2" width="12.7109375" style="1" customWidth="1"/>
    <col min="3" max="3" width="12.85546875" style="1" bestFit="1" customWidth="1"/>
    <col min="4" max="4" width="11.42578125" style="1"/>
    <col min="5" max="5" width="12.5703125" style="1" bestFit="1" customWidth="1"/>
    <col min="6" max="9" width="11.42578125" style="1"/>
    <col min="10" max="10" width="12.7109375" style="1" bestFit="1" customWidth="1"/>
    <col min="11" max="11" width="12.85546875" style="1" customWidth="1"/>
    <col min="12" max="12" width="11.42578125" style="1"/>
    <col min="13" max="13" width="12.7109375" style="1" bestFit="1" customWidth="1"/>
    <col min="14" max="16384" width="11.42578125" style="1"/>
  </cols>
  <sheetData>
    <row r="2" spans="1:14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</row>
    <row r="4" spans="1:14" ht="17.25" x14ac:dyDescent="0.3">
      <c r="A4" s="19" t="s">
        <v>1</v>
      </c>
      <c r="B4" s="20"/>
      <c r="C4" s="20"/>
      <c r="D4" s="21"/>
    </row>
    <row r="6" spans="1:14" x14ac:dyDescent="0.25">
      <c r="A6" s="22" t="s">
        <v>2</v>
      </c>
      <c r="B6" s="24"/>
      <c r="I6" s="22" t="s">
        <v>3</v>
      </c>
      <c r="J6" s="23"/>
      <c r="K6" s="24"/>
    </row>
    <row r="9" spans="1:14" ht="22.5" x14ac:dyDescent="0.35">
      <c r="E9" s="2"/>
    </row>
    <row r="10" spans="1:14" x14ac:dyDescent="0.25">
      <c r="A10" s="4" t="s">
        <v>4</v>
      </c>
      <c r="B10" s="5"/>
      <c r="C10" s="5"/>
      <c r="D10" s="5"/>
      <c r="E10" s="5"/>
      <c r="F10" s="5"/>
      <c r="G10" s="5"/>
      <c r="I10" s="4" t="s">
        <v>4</v>
      </c>
      <c r="J10" s="5"/>
      <c r="K10" s="5"/>
      <c r="L10" s="5"/>
      <c r="M10" s="5"/>
      <c r="N10" s="5"/>
    </row>
    <row r="11" spans="1:14" x14ac:dyDescent="0.25">
      <c r="A11" s="5" t="s">
        <v>5</v>
      </c>
      <c r="B11" s="5"/>
      <c r="C11" s="5"/>
      <c r="D11" s="5"/>
      <c r="E11" s="5"/>
      <c r="F11" s="5"/>
      <c r="G11" s="5"/>
      <c r="I11" s="5" t="s">
        <v>5</v>
      </c>
      <c r="J11" s="5"/>
      <c r="K11" s="5"/>
      <c r="L11" s="5"/>
      <c r="M11" s="5"/>
      <c r="N11" s="5"/>
    </row>
    <row r="12" spans="1:14" x14ac:dyDescent="0.25">
      <c r="A12" s="5" t="s">
        <v>6</v>
      </c>
      <c r="B12" s="5"/>
      <c r="C12" s="5"/>
      <c r="D12" s="5"/>
      <c r="E12" s="5"/>
      <c r="F12" s="5"/>
      <c r="G12" s="5"/>
      <c r="I12" s="5" t="s">
        <v>9</v>
      </c>
      <c r="J12" s="5"/>
      <c r="K12" s="5"/>
      <c r="L12" s="5"/>
      <c r="M12" s="5"/>
      <c r="N12" s="5"/>
    </row>
    <row r="13" spans="1:14" x14ac:dyDescent="0.25">
      <c r="A13" s="5" t="s">
        <v>7</v>
      </c>
      <c r="B13" s="5"/>
      <c r="C13" s="5"/>
      <c r="D13" s="5"/>
      <c r="E13" s="5"/>
      <c r="F13" s="5"/>
      <c r="G13" s="5"/>
      <c r="I13" s="5" t="s">
        <v>10</v>
      </c>
      <c r="J13" s="5"/>
      <c r="K13" s="5"/>
      <c r="L13" s="5"/>
      <c r="M13" s="5"/>
      <c r="N13" s="5"/>
    </row>
    <row r="14" spans="1:14" x14ac:dyDescent="0.25">
      <c r="A14" s="5" t="s">
        <v>51</v>
      </c>
      <c r="B14" s="5"/>
      <c r="C14" s="5"/>
      <c r="D14" s="5"/>
      <c r="E14" s="5"/>
      <c r="F14" s="5"/>
      <c r="G14" s="5"/>
      <c r="I14" s="5" t="s">
        <v>11</v>
      </c>
      <c r="J14" s="5"/>
      <c r="K14" s="5"/>
      <c r="L14" s="5"/>
      <c r="M14" s="5"/>
      <c r="N14" s="5"/>
    </row>
    <row r="15" spans="1:14" x14ac:dyDescent="0.25">
      <c r="A15" s="5" t="s">
        <v>13</v>
      </c>
      <c r="B15" s="5"/>
      <c r="C15" s="5"/>
      <c r="D15" s="5"/>
      <c r="E15" s="5"/>
      <c r="F15" s="5"/>
      <c r="G15" s="5"/>
      <c r="I15" s="5" t="s">
        <v>12</v>
      </c>
      <c r="J15" s="5"/>
      <c r="K15" s="5"/>
      <c r="L15" s="5"/>
      <c r="M15" s="5"/>
      <c r="N15" s="5"/>
    </row>
    <row r="16" spans="1:14" x14ac:dyDescent="0.25">
      <c r="A16" s="5" t="s">
        <v>8</v>
      </c>
      <c r="B16" s="5"/>
      <c r="C16" s="5"/>
      <c r="D16" s="5"/>
      <c r="E16" s="5"/>
      <c r="F16" s="5"/>
      <c r="G16" s="5"/>
      <c r="I16" s="5" t="s">
        <v>14</v>
      </c>
      <c r="J16" s="5"/>
      <c r="K16" s="5"/>
      <c r="L16" s="5"/>
      <c r="M16" s="5"/>
      <c r="N16" s="5"/>
    </row>
    <row r="18" spans="1:13" x14ac:dyDescent="0.25">
      <c r="A18" s="25" t="s">
        <v>52</v>
      </c>
      <c r="B18" s="26"/>
      <c r="C18" s="27"/>
      <c r="I18" s="25" t="s">
        <v>52</v>
      </c>
      <c r="J18" s="26"/>
      <c r="K18" s="27"/>
    </row>
    <row r="19" spans="1:13" ht="30" x14ac:dyDescent="0.25">
      <c r="A19" s="6" t="s">
        <v>22</v>
      </c>
      <c r="B19" s="6" t="s">
        <v>20</v>
      </c>
      <c r="C19" s="7" t="s">
        <v>23</v>
      </c>
      <c r="I19" s="6" t="s">
        <v>22</v>
      </c>
      <c r="J19" s="6" t="s">
        <v>20</v>
      </c>
      <c r="K19" s="7" t="s">
        <v>23</v>
      </c>
    </row>
    <row r="20" spans="1:13" x14ac:dyDescent="0.25">
      <c r="A20" s="8" t="s">
        <v>18</v>
      </c>
      <c r="B20" s="9" t="s">
        <v>15</v>
      </c>
      <c r="C20" s="10" t="s">
        <v>21</v>
      </c>
      <c r="I20" s="8" t="s">
        <v>18</v>
      </c>
      <c r="J20" s="9" t="s">
        <v>15</v>
      </c>
      <c r="K20" s="10" t="s">
        <v>21</v>
      </c>
    </row>
    <row r="21" spans="1:13" x14ac:dyDescent="0.25">
      <c r="A21" s="8" t="s">
        <v>57</v>
      </c>
      <c r="B21" s="11" t="s">
        <v>16</v>
      </c>
      <c r="C21" s="10" t="s">
        <v>29</v>
      </c>
      <c r="I21" s="8" t="s">
        <v>19</v>
      </c>
      <c r="J21" s="11" t="s">
        <v>16</v>
      </c>
      <c r="K21" s="10" t="s">
        <v>29</v>
      </c>
    </row>
    <row r="22" spans="1:13" x14ac:dyDescent="0.25">
      <c r="A22" s="8" t="s">
        <v>58</v>
      </c>
      <c r="B22" s="12" t="s">
        <v>17</v>
      </c>
      <c r="C22" s="10" t="s">
        <v>30</v>
      </c>
      <c r="I22" s="8" t="s">
        <v>58</v>
      </c>
      <c r="J22" s="12" t="s">
        <v>17</v>
      </c>
      <c r="K22" s="10" t="s">
        <v>30</v>
      </c>
    </row>
    <row r="24" spans="1:13" x14ac:dyDescent="0.25">
      <c r="A24" s="28" t="s">
        <v>24</v>
      </c>
      <c r="B24" s="29"/>
      <c r="I24" s="28" t="s">
        <v>24</v>
      </c>
      <c r="J24" s="29"/>
      <c r="K24" s="5"/>
    </row>
    <row r="25" spans="1:13" ht="30" x14ac:dyDescent="0.25">
      <c r="A25" s="17" t="s">
        <v>35</v>
      </c>
      <c r="B25" s="17"/>
      <c r="C25" s="17"/>
      <c r="D25" s="7" t="s">
        <v>28</v>
      </c>
      <c r="E25" s="6" t="s">
        <v>20</v>
      </c>
      <c r="I25" s="17" t="s">
        <v>35</v>
      </c>
      <c r="J25" s="17"/>
      <c r="K25" s="17"/>
      <c r="L25" s="7" t="s">
        <v>28</v>
      </c>
      <c r="M25" s="6" t="s">
        <v>20</v>
      </c>
    </row>
    <row r="26" spans="1:13" ht="33" customHeight="1" x14ac:dyDescent="0.25">
      <c r="A26" s="30" t="s">
        <v>27</v>
      </c>
      <c r="B26" s="30"/>
      <c r="C26" s="30"/>
      <c r="D26" s="3"/>
      <c r="E26" s="13" t="str">
        <f>IF(D26&gt;=7,"Crítico",IF(D26&gt;=3,"Moderado",IF(D26&lt;=2,"Bajo")))</f>
        <v>Bajo</v>
      </c>
      <c r="I26" s="30" t="s">
        <v>27</v>
      </c>
      <c r="J26" s="30"/>
      <c r="K26" s="30"/>
      <c r="L26" s="3"/>
      <c r="M26" s="13" t="str">
        <f>IF(L26&gt;=7,"Crítico",IF(L26&gt;=3,"Moderado",IF(L26&lt;=2,"Bajo")))</f>
        <v>Bajo</v>
      </c>
    </row>
    <row r="27" spans="1:13" ht="33" customHeight="1" x14ac:dyDescent="0.25">
      <c r="A27" s="16" t="s">
        <v>26</v>
      </c>
      <c r="B27" s="16"/>
      <c r="C27" s="16"/>
      <c r="D27" s="3"/>
      <c r="E27" s="13" t="str">
        <f t="shared" ref="E27:E32" si="0">IF(D27&gt;=7,"Crítico",IF(D27&gt;=3,"Moderado",IF(D27&lt;=2,"Bajo")))</f>
        <v>Bajo</v>
      </c>
      <c r="I27" s="16" t="s">
        <v>36</v>
      </c>
      <c r="J27" s="16"/>
      <c r="K27" s="16"/>
      <c r="L27" s="3"/>
      <c r="M27" s="13" t="str">
        <f t="shared" ref="M27:M32" si="1">IF(L27&gt;=7,"Crítico",IF(L27&gt;=3,"Moderado",IF(L27&lt;=2,"Bajo")))</f>
        <v>Bajo</v>
      </c>
    </row>
    <row r="28" spans="1:13" ht="33" customHeight="1" x14ac:dyDescent="0.25">
      <c r="A28" s="16" t="s">
        <v>25</v>
      </c>
      <c r="B28" s="16"/>
      <c r="C28" s="16"/>
      <c r="D28" s="3"/>
      <c r="E28" s="13" t="str">
        <f t="shared" si="0"/>
        <v>Bajo</v>
      </c>
      <c r="I28" s="16" t="s">
        <v>37</v>
      </c>
      <c r="J28" s="16"/>
      <c r="K28" s="16"/>
      <c r="L28" s="3"/>
      <c r="M28" s="13" t="str">
        <f t="shared" si="1"/>
        <v>Bajo</v>
      </c>
    </row>
    <row r="29" spans="1:13" ht="33" customHeight="1" x14ac:dyDescent="0.25">
      <c r="A29" s="32" t="s">
        <v>31</v>
      </c>
      <c r="B29" s="33"/>
      <c r="C29" s="34"/>
      <c r="D29" s="3"/>
      <c r="E29" s="13" t="str">
        <f t="shared" si="0"/>
        <v>Bajo</v>
      </c>
      <c r="I29" s="32" t="s">
        <v>38</v>
      </c>
      <c r="J29" s="33"/>
      <c r="K29" s="34"/>
      <c r="L29" s="3"/>
      <c r="M29" s="13" t="str">
        <f t="shared" si="1"/>
        <v>Bajo</v>
      </c>
    </row>
    <row r="30" spans="1:13" ht="33" customHeight="1" x14ac:dyDescent="0.25">
      <c r="A30" s="32" t="s">
        <v>32</v>
      </c>
      <c r="B30" s="33"/>
      <c r="C30" s="34"/>
      <c r="D30" s="3"/>
      <c r="E30" s="13" t="str">
        <f t="shared" si="0"/>
        <v>Bajo</v>
      </c>
      <c r="I30" s="32" t="s">
        <v>39</v>
      </c>
      <c r="J30" s="33"/>
      <c r="K30" s="34"/>
      <c r="L30" s="3"/>
      <c r="M30" s="13" t="str">
        <f t="shared" si="1"/>
        <v>Bajo</v>
      </c>
    </row>
    <row r="31" spans="1:13" ht="33" customHeight="1" x14ac:dyDescent="0.25">
      <c r="A31" s="32" t="s">
        <v>33</v>
      </c>
      <c r="B31" s="33"/>
      <c r="C31" s="34"/>
      <c r="D31" s="3"/>
      <c r="E31" s="13" t="str">
        <f t="shared" si="0"/>
        <v>Bajo</v>
      </c>
      <c r="I31" s="32" t="s">
        <v>40</v>
      </c>
      <c r="J31" s="33"/>
      <c r="K31" s="34"/>
      <c r="L31" s="3"/>
      <c r="M31" s="13" t="str">
        <f t="shared" si="1"/>
        <v>Bajo</v>
      </c>
    </row>
    <row r="32" spans="1:13" ht="33" customHeight="1" x14ac:dyDescent="0.25">
      <c r="A32" s="35" t="s">
        <v>34</v>
      </c>
      <c r="B32" s="36"/>
      <c r="C32" s="37"/>
      <c r="D32" s="14" t="e">
        <f>AVERAGE(D26:D31)</f>
        <v>#DIV/0!</v>
      </c>
      <c r="E32" s="6" t="e">
        <f t="shared" si="0"/>
        <v>#DIV/0!</v>
      </c>
      <c r="I32" s="35" t="s">
        <v>34</v>
      </c>
      <c r="J32" s="36"/>
      <c r="K32" s="37"/>
      <c r="L32" s="14" t="e">
        <f>AVERAGE(L26:L31)</f>
        <v>#DIV/0!</v>
      </c>
      <c r="M32" s="6" t="e">
        <f t="shared" si="1"/>
        <v>#DIV/0!</v>
      </c>
    </row>
    <row r="34" spans="1:12" x14ac:dyDescent="0.25">
      <c r="A34" s="31" t="s">
        <v>41</v>
      </c>
      <c r="B34" s="31"/>
      <c r="C34" s="31"/>
      <c r="D34" s="3">
        <f>D26</f>
        <v>0</v>
      </c>
      <c r="I34" s="31" t="s">
        <v>41</v>
      </c>
      <c r="J34" s="31"/>
      <c r="K34" s="31"/>
      <c r="L34" s="3">
        <f>L26</f>
        <v>0</v>
      </c>
    </row>
    <row r="35" spans="1:12" x14ac:dyDescent="0.25">
      <c r="A35" s="38" t="s">
        <v>42</v>
      </c>
      <c r="B35" s="38"/>
      <c r="C35" s="38"/>
      <c r="D35" s="3">
        <f t="shared" ref="D35:D39" si="2">D27</f>
        <v>0</v>
      </c>
      <c r="I35" s="38" t="s">
        <v>47</v>
      </c>
      <c r="J35" s="38"/>
      <c r="K35" s="38"/>
      <c r="L35" s="3">
        <f t="shared" ref="L35:L39" si="3">L27</f>
        <v>0</v>
      </c>
    </row>
    <row r="36" spans="1:12" x14ac:dyDescent="0.25">
      <c r="A36" s="38" t="s">
        <v>43</v>
      </c>
      <c r="B36" s="38"/>
      <c r="C36" s="38"/>
      <c r="D36" s="3">
        <f t="shared" si="2"/>
        <v>0</v>
      </c>
      <c r="I36" s="38" t="s">
        <v>48</v>
      </c>
      <c r="J36" s="38"/>
      <c r="K36" s="38"/>
      <c r="L36" s="3">
        <f t="shared" si="3"/>
        <v>0</v>
      </c>
    </row>
    <row r="37" spans="1:12" x14ac:dyDescent="0.25">
      <c r="A37" s="39" t="s">
        <v>45</v>
      </c>
      <c r="B37" s="40"/>
      <c r="C37" s="41"/>
      <c r="D37" s="3">
        <f t="shared" si="2"/>
        <v>0</v>
      </c>
      <c r="I37" s="39" t="s">
        <v>49</v>
      </c>
      <c r="J37" s="40"/>
      <c r="K37" s="41"/>
      <c r="L37" s="3">
        <f t="shared" si="3"/>
        <v>0</v>
      </c>
    </row>
    <row r="38" spans="1:12" x14ac:dyDescent="0.25">
      <c r="A38" s="39" t="s">
        <v>44</v>
      </c>
      <c r="B38" s="40"/>
      <c r="C38" s="41"/>
      <c r="D38" s="3">
        <f t="shared" si="2"/>
        <v>0</v>
      </c>
      <c r="I38" s="39" t="s">
        <v>45</v>
      </c>
      <c r="J38" s="40"/>
      <c r="K38" s="41"/>
      <c r="L38" s="3">
        <f t="shared" si="3"/>
        <v>0</v>
      </c>
    </row>
    <row r="39" spans="1:12" x14ac:dyDescent="0.25">
      <c r="A39" s="39" t="s">
        <v>46</v>
      </c>
      <c r="B39" s="40"/>
      <c r="C39" s="41"/>
      <c r="D39" s="3">
        <f t="shared" si="2"/>
        <v>0</v>
      </c>
      <c r="I39" s="39" t="s">
        <v>46</v>
      </c>
      <c r="J39" s="40"/>
      <c r="K39" s="41"/>
      <c r="L39" s="3">
        <f t="shared" si="3"/>
        <v>0</v>
      </c>
    </row>
    <row r="54" spans="1:15" x14ac:dyDescent="0.25">
      <c r="A54" s="42" t="s">
        <v>50</v>
      </c>
      <c r="B54" s="42"/>
      <c r="C54" s="42"/>
      <c r="D54" s="42"/>
      <c r="E54" s="42"/>
      <c r="F54" s="42"/>
      <c r="G54" s="42"/>
      <c r="I54" s="42" t="s">
        <v>50</v>
      </c>
      <c r="J54" s="42"/>
      <c r="K54" s="42"/>
      <c r="L54" s="42"/>
      <c r="M54" s="42"/>
      <c r="N54" s="42"/>
      <c r="O54" s="42"/>
    </row>
    <row r="55" spans="1:15" x14ac:dyDescent="0.25">
      <c r="A55" s="6" t="s">
        <v>22</v>
      </c>
      <c r="B55" s="6" t="s">
        <v>20</v>
      </c>
      <c r="C55" s="17" t="s">
        <v>53</v>
      </c>
      <c r="D55" s="17"/>
      <c r="E55" s="17"/>
      <c r="F55" s="17"/>
      <c r="G55" s="17"/>
      <c r="I55" s="6" t="s">
        <v>22</v>
      </c>
      <c r="J55" s="6" t="s">
        <v>20</v>
      </c>
      <c r="K55" s="17" t="s">
        <v>53</v>
      </c>
      <c r="L55" s="17"/>
      <c r="M55" s="17"/>
      <c r="N55" s="17"/>
      <c r="O55" s="17"/>
    </row>
    <row r="56" spans="1:15" ht="33" customHeight="1" x14ac:dyDescent="0.25">
      <c r="A56" s="15" t="s">
        <v>18</v>
      </c>
      <c r="B56" s="9" t="s">
        <v>15</v>
      </c>
      <c r="C56" s="16" t="s">
        <v>54</v>
      </c>
      <c r="D56" s="16"/>
      <c r="E56" s="16"/>
      <c r="F56" s="16"/>
      <c r="G56" s="16"/>
      <c r="I56" s="15" t="s">
        <v>18</v>
      </c>
      <c r="J56" s="9" t="s">
        <v>15</v>
      </c>
      <c r="K56" s="16" t="s">
        <v>59</v>
      </c>
      <c r="L56" s="16"/>
      <c r="M56" s="16"/>
      <c r="N56" s="16"/>
      <c r="O56" s="16"/>
    </row>
    <row r="57" spans="1:15" ht="32.25" customHeight="1" x14ac:dyDescent="0.25">
      <c r="A57" s="15" t="s">
        <v>57</v>
      </c>
      <c r="B57" s="11" t="s">
        <v>16</v>
      </c>
      <c r="C57" s="16" t="s">
        <v>55</v>
      </c>
      <c r="D57" s="16"/>
      <c r="E57" s="16"/>
      <c r="F57" s="16"/>
      <c r="G57" s="16"/>
      <c r="I57" s="15" t="s">
        <v>57</v>
      </c>
      <c r="J57" s="11" t="s">
        <v>16</v>
      </c>
      <c r="K57" s="16" t="s">
        <v>60</v>
      </c>
      <c r="L57" s="16"/>
      <c r="M57" s="16"/>
      <c r="N57" s="16"/>
      <c r="O57" s="16"/>
    </row>
    <row r="58" spans="1:15" ht="35.25" customHeight="1" x14ac:dyDescent="0.25">
      <c r="A58" s="15" t="s">
        <v>58</v>
      </c>
      <c r="B58" s="12" t="s">
        <v>17</v>
      </c>
      <c r="C58" s="16" t="s">
        <v>56</v>
      </c>
      <c r="D58" s="16"/>
      <c r="E58" s="16"/>
      <c r="F58" s="16"/>
      <c r="G58" s="16"/>
      <c r="I58" s="15" t="s">
        <v>58</v>
      </c>
      <c r="J58" s="12" t="s">
        <v>17</v>
      </c>
      <c r="K58" s="16" t="s">
        <v>61</v>
      </c>
      <c r="L58" s="16"/>
      <c r="M58" s="16"/>
      <c r="N58" s="16"/>
      <c r="O58" s="16"/>
    </row>
  </sheetData>
  <sheetProtection algorithmName="SHA-512" hashValue="bdVs5ZQIG8MEEDFDGDKx9zatzC0WuK7BLvaiUtAkkN6FTShmFbrbblFs85HuKRUw/pk26FWXQbbzQ8twXHFhug==" saltValue="qdqU56RuOku59HBQEquepQ==" spinCount="100000" sheet="1" objects="1" scenarios="1"/>
  <mergeCells count="46">
    <mergeCell ref="I39:K39"/>
    <mergeCell ref="I54:O54"/>
    <mergeCell ref="A35:C35"/>
    <mergeCell ref="A36:C36"/>
    <mergeCell ref="A37:C37"/>
    <mergeCell ref="A38:C38"/>
    <mergeCell ref="A39:C39"/>
    <mergeCell ref="A54:G54"/>
    <mergeCell ref="I34:K34"/>
    <mergeCell ref="I35:K35"/>
    <mergeCell ref="I36:K36"/>
    <mergeCell ref="I37:K37"/>
    <mergeCell ref="I38:K38"/>
    <mergeCell ref="I28:K28"/>
    <mergeCell ref="I29:K29"/>
    <mergeCell ref="I30:K30"/>
    <mergeCell ref="I31:K31"/>
    <mergeCell ref="I32:K32"/>
    <mergeCell ref="A34:C34"/>
    <mergeCell ref="A28:C28"/>
    <mergeCell ref="A25:C25"/>
    <mergeCell ref="A29:C29"/>
    <mergeCell ref="A30:C30"/>
    <mergeCell ref="A31:C31"/>
    <mergeCell ref="A32:C32"/>
    <mergeCell ref="A24:B24"/>
    <mergeCell ref="I24:J24"/>
    <mergeCell ref="A26:C26"/>
    <mergeCell ref="A27:C27"/>
    <mergeCell ref="I25:K25"/>
    <mergeCell ref="I26:K26"/>
    <mergeCell ref="I27:K27"/>
    <mergeCell ref="A2:I2"/>
    <mergeCell ref="A4:D4"/>
    <mergeCell ref="I6:K6"/>
    <mergeCell ref="A6:B6"/>
    <mergeCell ref="A18:C18"/>
    <mergeCell ref="I18:K18"/>
    <mergeCell ref="K56:O56"/>
    <mergeCell ref="K57:O57"/>
    <mergeCell ref="K58:O58"/>
    <mergeCell ref="C56:G56"/>
    <mergeCell ref="C55:G55"/>
    <mergeCell ref="C57:G57"/>
    <mergeCell ref="C58:G58"/>
    <mergeCell ref="K55:O55"/>
  </mergeCells>
  <conditionalFormatting sqref="E26:E32">
    <cfRule type="containsText" dxfId="5" priority="10" operator="containsText" text="Crítico">
      <formula>NOT(ISERROR(SEARCH("Crítico",E26)))</formula>
    </cfRule>
    <cfRule type="containsText" dxfId="4" priority="11" operator="containsText" text="Moderado">
      <formula>NOT(ISERROR(SEARCH("Moderado",E26)))</formula>
    </cfRule>
    <cfRule type="containsText" dxfId="3" priority="12" operator="containsText" text="Bajo">
      <formula>NOT(ISERROR(SEARCH("Bajo",E26)))</formula>
    </cfRule>
  </conditionalFormatting>
  <conditionalFormatting sqref="M26:M32">
    <cfRule type="containsText" dxfId="2" priority="7" operator="containsText" text="Crítico">
      <formula>NOT(ISERROR(SEARCH("Crítico",M26)))</formula>
    </cfRule>
    <cfRule type="containsText" dxfId="1" priority="8" operator="containsText" text="Moderado">
      <formula>NOT(ISERROR(SEARCH("Moderado",M26)))</formula>
    </cfRule>
    <cfRule type="containsText" dxfId="0" priority="9" operator="containsText" text="Bajo">
      <formula>NOT(ISERROR(SEARCH("Bajo",M26)))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Numa Sebastian Calle Lituma</dc:creator>
  <cp:lastModifiedBy>Numa Sebastian Calle Lituma</cp:lastModifiedBy>
  <dcterms:created xsi:type="dcterms:W3CDTF">2025-03-19T17:54:51Z</dcterms:created>
  <dcterms:modified xsi:type="dcterms:W3CDTF">2025-05-20T21:23:23Z</dcterms:modified>
</cp:coreProperties>
</file>