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s\Desktop\Temas Turismo\ESPOL\MATRICES\"/>
    </mc:Choice>
  </mc:AlternateContent>
  <bookViews>
    <workbookView xWindow="0" yWindow="0" windowWidth="20490" windowHeight="7755" firstSheet="17" activeTab="19"/>
  </bookViews>
  <sheets>
    <sheet name="RN- Zonas de Litoral" sheetId="1" r:id="rId1"/>
    <sheet name="RN- Zonas de Montaña" sheetId="2" r:id="rId2"/>
    <sheet name="RN- Áreas Naturales Protegidas" sheetId="3" r:id="rId3"/>
    <sheet name="RN- Cuerpos de Agua" sheetId="4" r:id="rId4"/>
    <sheet name="RC- Artístico Monumental" sheetId="5" r:id="rId5"/>
    <sheet name="RC- Nacionalidades y Pueblos" sheetId="6" r:id="rId6"/>
    <sheet name="RC- Expresiones Contemporáneas" sheetId="7" r:id="rId7"/>
    <sheet name="PT- Alojamiento" sheetId="8" r:id="rId8"/>
    <sheet name="PT- Restauración" sheetId="9" r:id="rId9"/>
    <sheet name="PT- Intermediación" sheetId="10" r:id="rId10"/>
    <sheet name="PT- Transportación Turística" sheetId="11" r:id="rId11"/>
    <sheet name="PT- Interpretación Turística" sheetId="12" r:id="rId12"/>
    <sheet name="TT- Productos Turísticos" sheetId="13" r:id="rId13"/>
    <sheet name="I- Infraestructura" sheetId="14" r:id="rId14"/>
    <sheet name="DT- Afluencia Turística " sheetId="15" r:id="rId15"/>
    <sheet name="DT- Marketing Turístico" sheetId="16" r:id="rId16"/>
    <sheet name="ST- Superestructura del Turismo" sheetId="20" r:id="rId17"/>
    <sheet name="Análisis Componentes FN" sheetId="17" r:id="rId18"/>
    <sheet name="Análisis Componentes FX" sheetId="19" r:id="rId19"/>
    <sheet name="Gráfica Resultante" sheetId="18" r:id="rId20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43" i="14" l="1"/>
  <c r="D24" i="17" l="1"/>
  <c r="H16" i="17" s="1"/>
  <c r="I16" i="17" s="1"/>
  <c r="E40" i="20" l="1"/>
  <c r="D14" i="19" s="1"/>
  <c r="H14" i="19" s="1"/>
  <c r="I14" i="19" s="1"/>
  <c r="E25" i="15"/>
  <c r="D10" i="19" s="1"/>
  <c r="H8" i="19" s="1"/>
  <c r="I8" i="19" s="1"/>
  <c r="E40" i="16"/>
  <c r="D12" i="19" s="1"/>
  <c r="H11" i="19" s="1"/>
  <c r="I11" i="19" s="1"/>
  <c r="E28" i="11"/>
  <c r="D21" i="17" s="1"/>
  <c r="E25" i="10"/>
  <c r="D20" i="17" s="1"/>
  <c r="E40" i="8"/>
  <c r="D18" i="17" s="1"/>
  <c r="E34" i="9"/>
  <c r="D19" i="17" s="1"/>
  <c r="I17" i="19" l="1"/>
  <c r="E121" i="13"/>
  <c r="D23" i="17" s="1"/>
  <c r="H13" i="17" s="1"/>
  <c r="I13" i="17" s="1"/>
  <c r="E22" i="12"/>
  <c r="D22" i="17" s="1"/>
  <c r="D17" i="17" s="1"/>
  <c r="H10" i="17" s="1"/>
  <c r="I10" i="17" s="1"/>
  <c r="E25" i="7"/>
  <c r="D16" i="17" s="1"/>
  <c r="E25" i="6"/>
  <c r="D15" i="17" s="1"/>
  <c r="E31" i="5"/>
  <c r="D14" i="17" s="1"/>
  <c r="E25" i="4"/>
  <c r="D12" i="17" s="1"/>
  <c r="E28" i="1"/>
  <c r="D9" i="17" s="1"/>
  <c r="D13" i="17" l="1"/>
  <c r="E43" i="3"/>
  <c r="D11" i="17" s="1"/>
  <c r="E43" i="2" l="1"/>
  <c r="D10" i="17" s="1"/>
  <c r="D8" i="17" s="1"/>
  <c r="D7" i="17" s="1"/>
  <c r="H7" i="17" s="1"/>
  <c r="I7" i="17" s="1"/>
  <c r="I19" i="17" s="1"/>
  <c r="B6" i="18" s="1"/>
  <c r="C6" i="18" a="1"/>
  <c r="C6" i="18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<sst xmlns="http://schemas.openxmlformats.org/spreadsheetml/2006/main" count="878" uniqueCount="706">
  <si>
    <t xml:space="preserve">EVALUACIÓN DEL POTENCIAL TURÍSTICO </t>
  </si>
  <si>
    <t>RECURSOS NATURALES</t>
  </si>
  <si>
    <t>Zonas de Litoral</t>
  </si>
  <si>
    <t>Atractivo</t>
  </si>
  <si>
    <t>Playas</t>
  </si>
  <si>
    <t>Rojo o
Ausencia</t>
  </si>
  <si>
    <t>Amarillo o
Fragilidad</t>
  </si>
  <si>
    <t>Verde o
Aprovechable</t>
  </si>
  <si>
    <t>Arrecifes</t>
  </si>
  <si>
    <t>Arrecifes con flora y fauna dañada por embarcaciones de motor y la actividad del hombre, así como contaminación del agua.</t>
  </si>
  <si>
    <t>Zonas de arrecifes con estructura geológica intacta y mínima contaminación del agua.</t>
  </si>
  <si>
    <t>Playas sin erosión y sin contaminación del agua y con limpieza e higiene en general.</t>
  </si>
  <si>
    <t>Playas con fuerte erosión y/o contaminacion en el agua.</t>
  </si>
  <si>
    <t>Ausencia de playas.</t>
  </si>
  <si>
    <t>Carencia de arrecifes.</t>
  </si>
  <si>
    <t>Cuevas, grutas, cenotes y cavernas</t>
  </si>
  <si>
    <t>Ausencia de cuevas, grutas, cenotes y cavernas.</t>
  </si>
  <si>
    <t>Zonas dañadas en su geología y hábitats, fuerte contaminación de agua y con residuos sólidos.</t>
  </si>
  <si>
    <t>Zonas conservadas en su geología y hábitats, manteniendo las especies endémicas de flora y fauna.</t>
  </si>
  <si>
    <t>Flora y fauna</t>
  </si>
  <si>
    <t>Ausencia de flora y fauna.</t>
  </si>
  <si>
    <t>Pérdida o fuerte impacto de hábitats y especies de flora y fauna, así como contaminación del suelo, agua y aire.</t>
  </si>
  <si>
    <t>Amplia diversidad de especies de flora y fauna endémicas, conservación de los hábitats y mínima contaminación en el suelo y aire.</t>
  </si>
  <si>
    <t>Áreas para la realización de actividades acuáticas turísticas diversas.</t>
  </si>
  <si>
    <t>Sin áreas para la realización de actividades acuáticas diversas.</t>
  </si>
  <si>
    <t>Fuerte contaminación del agua y espacios para el desarrollo de actividades limitado.</t>
  </si>
  <si>
    <t>Áreas sin contaminación del agua y con una distribución del espacio a utilizar adecuado.</t>
  </si>
  <si>
    <t>Áreas desérticas</t>
  </si>
  <si>
    <t>Sin áreas desérticas.</t>
  </si>
  <si>
    <t>Zonas desérticas que conservan sus hábitats de flora y fauna endémicas, sin contaminación.</t>
  </si>
  <si>
    <t>Zonas de Montaña</t>
  </si>
  <si>
    <t>Montañas</t>
  </si>
  <si>
    <t>Ausencia de montañas.</t>
  </si>
  <si>
    <t>Fuerte erosión y contaminación en las montañas.</t>
  </si>
  <si>
    <t>Montañas conservadas con mínima contaminación.</t>
  </si>
  <si>
    <t>Promerio de RN(zl)</t>
  </si>
  <si>
    <t>Sierras</t>
  </si>
  <si>
    <t>Ausencia de sierras.</t>
  </si>
  <si>
    <t>Superficies forestales con abundantes especies y mínima contaminación.</t>
  </si>
  <si>
    <t>Cañadas</t>
  </si>
  <si>
    <t>Ausencia de cañadas.</t>
  </si>
  <si>
    <t>Cañadas conservadas o restauradas con mínima contaminación.</t>
  </si>
  <si>
    <t>Cañones</t>
  </si>
  <si>
    <t>Ausencia de cañones.</t>
  </si>
  <si>
    <t>Ríos con abundante caudal y mínima contaminación del agua.</t>
  </si>
  <si>
    <t>Cuevas y Grutas</t>
  </si>
  <si>
    <t>Ausencia de cuevas y grutas.</t>
  </si>
  <si>
    <t>Fuerte deterioro en las cuevas y grutas, y contaminación por la proliferación de residuos sólidos.</t>
  </si>
  <si>
    <t>Cuevas y grutas conservadas en su estructura geológica natural, sin contaminación, adaptadas y seguras para la actividad turística.</t>
  </si>
  <si>
    <t>Géisers</t>
  </si>
  <si>
    <t>Volcanes</t>
  </si>
  <si>
    <t>Valles</t>
  </si>
  <si>
    <t>Bosques</t>
  </si>
  <si>
    <t>Ausencia de géisers.</t>
  </si>
  <si>
    <t>Géisers que conservan su entorno natural, con mínima contaminación y sin riesgo para los visitantes.</t>
  </si>
  <si>
    <t>Ausencia de volcanes.</t>
  </si>
  <si>
    <t>Áreas Naturales Protegidas</t>
  </si>
  <si>
    <t>Cuerpos de Agua</t>
  </si>
  <si>
    <t>RECURSOS CULTURALES</t>
  </si>
  <si>
    <t>Artístico-Monumental</t>
  </si>
  <si>
    <t>Nacionalidades y Pueblos Indígenas</t>
  </si>
  <si>
    <t>Expresiones Artísticas Contemporáneas</t>
  </si>
  <si>
    <t>PLANTA TURÍSTICA</t>
  </si>
  <si>
    <t>Alojamiento</t>
  </si>
  <si>
    <t>Restauración</t>
  </si>
  <si>
    <t>Interpretación y/o Guianza</t>
  </si>
  <si>
    <t>Productos Turísticos (Reales y/o Potenciales)</t>
  </si>
  <si>
    <t>INFRAESTRUCTURA</t>
  </si>
  <si>
    <t>Infraestructra Básica y de Apoyo</t>
  </si>
  <si>
    <t>DEMANDA TURÍSTICA</t>
  </si>
  <si>
    <t>Flujos Turísticos o Afluencia Turística</t>
  </si>
  <si>
    <t>Marketing Turístico</t>
  </si>
  <si>
    <t>Tabla Final Resultante</t>
  </si>
  <si>
    <t>Lugar</t>
  </si>
  <si>
    <t>Sitio 1</t>
  </si>
  <si>
    <t>Sitio 2</t>
  </si>
  <si>
    <t>Sitio 3</t>
  </si>
  <si>
    <t>Sitio 4</t>
  </si>
  <si>
    <t>Sitio 5</t>
  </si>
  <si>
    <t>Sitio 6</t>
  </si>
  <si>
    <t>Sitio 7</t>
  </si>
  <si>
    <t>Sitio 8</t>
  </si>
  <si>
    <t>Sitio 9</t>
  </si>
  <si>
    <t>Sitio 10</t>
  </si>
  <si>
    <t>Oferta Turística</t>
  </si>
  <si>
    <t>Demanda Turística</t>
  </si>
  <si>
    <t>valor</t>
  </si>
  <si>
    <t>Calificación</t>
  </si>
  <si>
    <t>Factores</t>
  </si>
  <si>
    <t>Calificación Total</t>
  </si>
  <si>
    <r>
      <t>1. Recursos Turísticos (</t>
    </r>
    <r>
      <rPr>
        <sz val="9"/>
        <color theme="1"/>
        <rFont val="Amasis MT Pro"/>
        <family val="1"/>
      </rPr>
      <t>RT</t>
    </r>
    <r>
      <rPr>
        <sz val="11"/>
        <color theme="1"/>
        <rFont val="Calibri"/>
        <family val="2"/>
        <scheme val="minor"/>
      </rPr>
      <t>)</t>
    </r>
  </si>
  <si>
    <r>
      <t>2. Planta Turística (</t>
    </r>
    <r>
      <rPr>
        <sz val="9"/>
        <color theme="1"/>
        <rFont val="Amasis MT Pro Light"/>
        <family val="1"/>
      </rPr>
      <t>ET</t>
    </r>
    <r>
      <rPr>
        <sz val="11"/>
        <color theme="1"/>
        <rFont val="Calibri"/>
        <family val="2"/>
        <scheme val="minor"/>
      </rPr>
      <t>)</t>
    </r>
  </si>
  <si>
    <r>
      <t>1. Afluencia Turística (</t>
    </r>
    <r>
      <rPr>
        <sz val="9"/>
        <color theme="1"/>
        <rFont val="Amasis MT Pro"/>
        <family val="1"/>
      </rPr>
      <t>AT</t>
    </r>
    <r>
      <rPr>
        <sz val="11"/>
        <color theme="1"/>
        <rFont val="Calibri"/>
        <family val="2"/>
        <scheme val="minor"/>
      </rPr>
      <t>)</t>
    </r>
  </si>
  <si>
    <t>Elementos</t>
  </si>
  <si>
    <t>Valor Resultante</t>
  </si>
  <si>
    <t>Recursos Naturales</t>
  </si>
  <si>
    <t>Recursos Culturales</t>
  </si>
  <si>
    <t>Hoteles</t>
  </si>
  <si>
    <t>Hostales</t>
  </si>
  <si>
    <t>Hosterías</t>
  </si>
  <si>
    <t>Haciendas Turísticas</t>
  </si>
  <si>
    <t>Lodges</t>
  </si>
  <si>
    <t>4. Infraestructura (I)</t>
  </si>
  <si>
    <t>Resorts</t>
  </si>
  <si>
    <t>Casa de Huéspedes</t>
  </si>
  <si>
    <t>Restaurantes</t>
  </si>
  <si>
    <t>Cafeterías</t>
  </si>
  <si>
    <t>Bares</t>
  </si>
  <si>
    <t>Discotecas</t>
  </si>
  <si>
    <t>Establecimientos Móviles</t>
  </si>
  <si>
    <t>Servicios de Catering</t>
  </si>
  <si>
    <t>Intermediación Turística</t>
  </si>
  <si>
    <t>Agencias de Viajes Mayoristas</t>
  </si>
  <si>
    <t>Agencias de Viajes Internacionales</t>
  </si>
  <si>
    <t>Operadores Turísticos</t>
  </si>
  <si>
    <t>Agencias de Viajes Duales</t>
  </si>
  <si>
    <t>Transportación Aérea</t>
  </si>
  <si>
    <t>Transportación Fluvial</t>
  </si>
  <si>
    <t>Transportación Marítima</t>
  </si>
  <si>
    <t>Guías Locales</t>
  </si>
  <si>
    <t>Guías Nacionales</t>
  </si>
  <si>
    <t>Guías Especializados en Aventura</t>
  </si>
  <si>
    <r>
      <t>3. Tipologías de Turismo (</t>
    </r>
    <r>
      <rPr>
        <sz val="9"/>
        <color theme="1"/>
        <rFont val="Amasis MT Pro"/>
        <family val="1"/>
      </rPr>
      <t>TT</t>
    </r>
    <r>
      <rPr>
        <sz val="11"/>
        <color theme="1"/>
        <rFont val="Calibri"/>
        <family val="2"/>
        <scheme val="minor"/>
      </rPr>
      <t>)</t>
    </r>
  </si>
  <si>
    <t>Turismo Especializado o Alternativo</t>
  </si>
  <si>
    <t>Turismo Rural</t>
  </si>
  <si>
    <t>Agroturismo</t>
  </si>
  <si>
    <t>Etnoturismo</t>
  </si>
  <si>
    <t>Turismo de Aventura</t>
  </si>
  <si>
    <t>Turismo Deportivo</t>
  </si>
  <si>
    <t>Ecoturismo</t>
  </si>
  <si>
    <t>Turismo de Negocios</t>
  </si>
  <si>
    <t>Turismo Arquitectónico y Monumental</t>
  </si>
  <si>
    <t>Turismo Literario</t>
  </si>
  <si>
    <t>Turismo Gastronómico</t>
  </si>
  <si>
    <t>Turismo Activo</t>
  </si>
  <si>
    <t>Turismo Vivencial</t>
  </si>
  <si>
    <t>Turismo Experiencial</t>
  </si>
  <si>
    <t>Turismo Patrimonial</t>
  </si>
  <si>
    <t>Turismo Histórico</t>
  </si>
  <si>
    <t>Turismo Arqueológico</t>
  </si>
  <si>
    <t>Turismo Astronómico</t>
  </si>
  <si>
    <t>Turismo Espacial</t>
  </si>
  <si>
    <t>Enoturismo</t>
  </si>
  <si>
    <t>Turismo de Salud</t>
  </si>
  <si>
    <t>Turismo Cinematográfico</t>
  </si>
  <si>
    <t>Turismo Artístico, Lúdico y/o Festivo</t>
  </si>
  <si>
    <t>Turismo Cinegético</t>
  </si>
  <si>
    <t>Turismo Idiomático</t>
  </si>
  <si>
    <t>Turismo Náutico</t>
  </si>
  <si>
    <t>Turismo Religioso</t>
  </si>
  <si>
    <t>Turismo de Cruceros</t>
  </si>
  <si>
    <t>Turismo Marino Costero</t>
  </si>
  <si>
    <t>Reservas Marinas</t>
  </si>
  <si>
    <t>Reserva Geobotánica</t>
  </si>
  <si>
    <t>Reserva Ecológica</t>
  </si>
  <si>
    <t>Reserva de Producción de Fauna</t>
  </si>
  <si>
    <t>Reserva Biológica</t>
  </si>
  <si>
    <t>Reserva de Vida Silvestre</t>
  </si>
  <si>
    <t>Parques Nacionales</t>
  </si>
  <si>
    <t>Área Protegida Privada</t>
  </si>
  <si>
    <t>Área Protegida Comunitaria</t>
  </si>
  <si>
    <t xml:space="preserve">Área Nacional de Recreación </t>
  </si>
  <si>
    <t>Área Ecológica de Conservación</t>
  </si>
  <si>
    <t>Ausencia Reserva(s) Geobotánica en el territorio.</t>
  </si>
  <si>
    <t>Ausencia de Reserva(s) Marina en el Territorio.</t>
  </si>
  <si>
    <t>Ausencia de Reserva(s) Ecológica en el territorios.</t>
  </si>
  <si>
    <t>Ausencia de Reserva(s) de Producción de Fauna en el territorio.</t>
  </si>
  <si>
    <t>Ausencia de Reserva(s) Biológica en el territorio.</t>
  </si>
  <si>
    <t>Ausencia de Reserva(s) de Vida Silvestre en el territorio.</t>
  </si>
  <si>
    <t>Ausencia de Parque(s) Nacional en el territorio.</t>
  </si>
  <si>
    <t>Ausencia de Área(s) Protegida Privada en el territorios.</t>
  </si>
  <si>
    <t>Ausencia de Área(s) Protegida Comunitaria en el territorio.</t>
  </si>
  <si>
    <t>Ausencia de Área(s) Nacional de Recreación en el territorio.</t>
  </si>
  <si>
    <t>Ausencia de Área(s) Ecológica en Conservación en el territorio.</t>
  </si>
  <si>
    <t>Fuerte degradación del ecosistema, pérdida de hábitats para especies endémicas de flora y fauna, evidencia de impactos negativos generados por el hombre y ausencia de un plan de manejo ejecutado.</t>
  </si>
  <si>
    <t>Fuerte degradación del ecosistema, pérdida de hábitats para especies endémicas de flora y fauna, evidencia de impactos negativos generados por el hombre y ausencia de un plan de manejo ejecutado..</t>
  </si>
  <si>
    <t>Reserva(s) Marina que conserva sus ecosistemas, que demuestran un control dentro de los impactos generados por la visitación, que mantienen programas de de conservación y cuidado ambiental activos y un plan de manejo aprobado, vigente y ejecutoriado.</t>
  </si>
  <si>
    <t>Reserva(s) Geobotánica que conserva sus ecosistemas, que demuestran un control dentro de los impactos generados por la visitación, que mantienen programas de de conservación y cuidado ambiental activos y un plan de manejo aprobado, vigente y ejecutoriado.</t>
  </si>
  <si>
    <t>Reserva(s) Ecológica que conserva sus ecosistemas, que demuestran un control dentro de los impactos generados por la visitación, que mantienen programas de de conservación y cuidado ambiental activos y un plan de manejo aprobado, vigente y ejecutoriado.</t>
  </si>
  <si>
    <t>Reserva(s) de Producción de Fauna que conserva sus ecosistemas, que demuestran un control dentro de los impactos generados por la visitación, que mantienen programas de de conservación y cuidado ambiental activos y un plan de manejo aprobado, vigente y ejecutoriado.</t>
  </si>
  <si>
    <t>Reserva(s) Biológica que conserva sus ecosistemas, que demuestran un control dentro de los impactos generados por la visitación, que mantienen programas de de conservación y cuidado ambiental activos y un plan de manejo aprobado, vigente y ejecutoriado.</t>
  </si>
  <si>
    <t>Reserva(s) de Vida Silvestre que conserva sus ecosistemas, que demuestran un control dentro de los impactos generados por la visitación, que mantienen programas de de conservación y cuidado ambiental activos y un plan de manejo aprobado, vigente y ejecutoriado.</t>
  </si>
  <si>
    <t>Parque(s) Nacional que conserva sus ecosistemas, que demuestran un control dentro de los impactos generados por la visitación, que mantienen programas de de conservación y cuidado ambiental activos y un plan de manejo aprobado, vigente y ejecutoriado.</t>
  </si>
  <si>
    <t>Área(s) Protegida Privada que conserva sus ecosistemas, que demuestran un control dentro de los impactos generados por la visitación, que mantienen programas de de conservación y cuidado ambiental activos y un plan de manejo aprobado, vigente y ejecutoriado.</t>
  </si>
  <si>
    <t>Área(s) Protegida Comunitaria que conserva sus ecosistemas, que demuestran un control dentro de los impactos generados por la visitación, que mantienen programas de de conservación y cuidado ambiental activos y un plan de manejo aprobado, vigente y ejecutoriado.</t>
  </si>
  <si>
    <t>Área(s) Nacional de Recreación que conserva sus ecosistemas, que demuestran un control dentro de los impactos generados por la visitación, que mantienen programas de de conservación y cuidado ambiental activos y un plan de manejo aprobado, vigente y ejecutoriado.</t>
  </si>
  <si>
    <t>Área(s) Ecológica de Conservación que conserva sus ecosistemas, que demuestran un control dentro de los impactos generados por la visitación, que mantienen programas de de conservación y cuidado ambiental activos y un plan de manejo aprobado, vigente y ejecutoriado.</t>
  </si>
  <si>
    <t>Lagos y Lagunas</t>
  </si>
  <si>
    <t>Ríos y Arroyos</t>
  </si>
  <si>
    <t>Cascadas y Caídas de Agua</t>
  </si>
  <si>
    <t>Termas</t>
  </si>
  <si>
    <t>Esteros</t>
  </si>
  <si>
    <t>Ausencia de lagos y lagunas.</t>
  </si>
  <si>
    <t>Ausencia de ríos y arroyos.</t>
  </si>
  <si>
    <t>Ausencia de cascadas y caídas de agua.</t>
  </si>
  <si>
    <t>Ausencia de termas.</t>
  </si>
  <si>
    <t>Ausencia de esteros.</t>
  </si>
  <si>
    <t xml:space="preserve">Pérdida de volumen de agua, proliferación de lirios, líquenes y contaminación. </t>
  </si>
  <si>
    <t>Pérdida de caudal y contaminación del agua.</t>
  </si>
  <si>
    <t>Lagos y lagunas sin pérdida de volumen de agua o recuperados, con estrícto control a la proliferación de lirios y líquenes y mínima contaminación.</t>
  </si>
  <si>
    <t>Ríos u arroyos sin pérdida de caudal o recuperado y sin contaminación del agua.</t>
  </si>
  <si>
    <t>Siminución del caudal de agua y contaminación de entorno natural.</t>
  </si>
  <si>
    <t>Caudal de agua sin disminución o recuperado y mínima contaminación en el entorno natural.</t>
  </si>
  <si>
    <t>Agotamiento de caudales de aguas termales y minerales por la alta intensidad de la actividad del hombre.</t>
  </si>
  <si>
    <t>Termas sin pérdida de su caudal de aguas termales y mínima contaminación del entorno natural.</t>
  </si>
  <si>
    <t>Fuerte contaminación del agua y pérdida o cambio de especies endémicas.</t>
  </si>
  <si>
    <t>Mínima contaminación del agua y del entorno natural así como conservación de flora y fauna endémica.</t>
  </si>
  <si>
    <t>Zonas Arqueológicas</t>
  </si>
  <si>
    <t>Fósiles</t>
  </si>
  <si>
    <t>Pinturas Rupestres</t>
  </si>
  <si>
    <t>Ciudades Coloniales</t>
  </si>
  <si>
    <t>Pueblos Antiguos</t>
  </si>
  <si>
    <t>Carencia de zonas arqueológicas.</t>
  </si>
  <si>
    <t>Ausencia de fósiles.</t>
  </si>
  <si>
    <t>Sin pinturas rupestres.</t>
  </si>
  <si>
    <t>Ausencia de ciudades coloniales.</t>
  </si>
  <si>
    <t>Sin pueblos antiguos.</t>
  </si>
  <si>
    <t>Zonas con fuerte degradación por elementos naturales y falta de conservación.</t>
  </si>
  <si>
    <t>Zonas con fuerte saqueo de fósiles, sin medidas de resguardo y conservación.</t>
  </si>
  <si>
    <t>Pinturas dañadas por contaminación y/o por la interacción con el hombre.</t>
  </si>
  <si>
    <t>Ciudades coloniales con fuerte deterioro de sus bienes inmuebles por descuido y/o abandono.</t>
  </si>
  <si>
    <t>Pérdida de la arquitectura vernacula e imagen tradicional por el crecimiento demográfico.</t>
  </si>
  <si>
    <t>Zonas arqueológicas protegidas contra los eventos climáticos y con programas de conservación.</t>
  </si>
  <si>
    <t>Zonas con fósiles protegidas, con medidas de resguardo y conservación.</t>
  </si>
  <si>
    <t>Centros históricos, edificios y monumentos así como cascos de haciendas conservados o restaurados y con atención continua para prevenir el deterioro.</t>
  </si>
  <si>
    <t>Atención permanente a la conservación de la línea arquitectónica e imagen de los pueblos antiguos.</t>
  </si>
  <si>
    <t>Pinturas rupestres conservadas en su conformación original, con actividades de conservación y atención continua.</t>
  </si>
  <si>
    <t>Sitios Patrimonio de la Humanidad</t>
  </si>
  <si>
    <t>Carencia de sitios patrimoniales de la humanidad.</t>
  </si>
  <si>
    <t>Santuarios</t>
  </si>
  <si>
    <t>Ausencia de Santuarios.</t>
  </si>
  <si>
    <t>Pérdida de la línea arquitectónica, imagen y traza del sitio.</t>
  </si>
  <si>
    <t>Fuerte deterioro del sitio por la gran intensidad de las visitas religiosas y turísticas.</t>
  </si>
  <si>
    <t>Sitios conservados o restaurados con atención continua de protección y autenticidad.</t>
  </si>
  <si>
    <t>Santuarios con medidas de protección y restauración permanente ante el desgaste extraordinario ocasionado por la alta intensidad de visitas.</t>
  </si>
  <si>
    <t>Grupos Étnicos</t>
  </si>
  <si>
    <t>Ausencia de grupos étnicos.</t>
  </si>
  <si>
    <t>Fuerte pérdida de formas de vida, usos, costumbres, lenguajes nativos y aumento de la transculturalización.</t>
  </si>
  <si>
    <t>Grupos étnicos que conservan sus formas de vida, usos, costumbres autóctonas, así como su lenguaje nativo en sus distintas actividades.</t>
  </si>
  <si>
    <t>Ferias y Mercados Tradicionales</t>
  </si>
  <si>
    <t>Eventos Históricos y/o Religiosos</t>
  </si>
  <si>
    <t>Inexistencia de expresiones artísticas y/o folklóricas.</t>
  </si>
  <si>
    <t>Ausencia de ferias y mercados tradicionales.</t>
  </si>
  <si>
    <t>Sin eventos folklóricos.</t>
  </si>
  <si>
    <t>Eventos Folklóricos
(carnavales, fiestas populares)</t>
  </si>
  <si>
    <t>Expresiones Artísticas Folklóricas
(Música y danza, Gastronomía, Artesanías Populares)</t>
  </si>
  <si>
    <t>Pérdida progresiva de expresiones musicales, danzas típicas y gastronomía, así como artesanías tradicionales.</t>
  </si>
  <si>
    <t>Desaparición progresiva de la realización de ferias y mercados típicos.</t>
  </si>
  <si>
    <t>Suspensión prolongada de eventos folklóricos.</t>
  </si>
  <si>
    <t>Pérdida progresiva de la realización de eventos.</t>
  </si>
  <si>
    <t xml:space="preserve">Conservación de eventos históricos y/o religiosos autóctonos. </t>
  </si>
  <si>
    <t>Realización de eventos tradicionales y especiales.</t>
  </si>
  <si>
    <t>Continua realización y autenticidad de ferias típicas y la existencia de mercados tradicionales.</t>
  </si>
  <si>
    <t>Expresiones artísticas y folklóricas intactas, auténticas o rescatadas.</t>
  </si>
  <si>
    <t>Obras de Arte</t>
  </si>
  <si>
    <t>Centros Científicos y Técnicos</t>
  </si>
  <si>
    <t>Explotaciones Mineras</t>
  </si>
  <si>
    <t>Plantaciones Agropecuarias</t>
  </si>
  <si>
    <t>Complejos Industriales</t>
  </si>
  <si>
    <t>Falta de centros científicos y técnicos.</t>
  </si>
  <si>
    <t>Carencia de explotaciones mineras.</t>
  </si>
  <si>
    <t>Carencia de obras de arte.</t>
  </si>
  <si>
    <t>Ausencia de plantaciones agropecuarias.</t>
  </si>
  <si>
    <t>Falta de complejos industriales.</t>
  </si>
  <si>
    <t>Fuerte deterioro de las obras por falta de medidas de conservación y el contacto con el público en general.</t>
  </si>
  <si>
    <t>Restricciones al contacto y convivencia con turistas.</t>
  </si>
  <si>
    <t>Limitadas posibilidades de adecuación de las explotaciones mineras para su aprovechamiento y visita.</t>
  </si>
  <si>
    <t>Renuencia, falta de disposición de los propietarios, o condiciones inadecuadas de las plantaciones.</t>
  </si>
  <si>
    <t>Instalaciones inadecuadas para permitir o garantizar la visita de turistas.</t>
  </si>
  <si>
    <t>Atención continua a la prevención de daños, restauración y rescate de las obras de arte.</t>
  </si>
  <si>
    <t>Apertura y disposición por parte de instituciones para la visita de turistas.</t>
  </si>
  <si>
    <t>Disposición por parte de instituciones y/o propietarios y condiciones adecuadas para la visita de turistas.</t>
  </si>
  <si>
    <t>Apertura y disposición de propietarios e instalaciones adecuadas para la visita de turistas.</t>
  </si>
  <si>
    <t>Apertura y disposición de propietarios, así como instalaciones adecuadas para garantizar la seguridad de los visitantes.</t>
  </si>
  <si>
    <t>Refugios</t>
  </si>
  <si>
    <t>Campamentos Turísticos</t>
  </si>
  <si>
    <t>Promerio de RN(zm)</t>
  </si>
  <si>
    <t>Promerio de RN(ap)</t>
  </si>
  <si>
    <t>Promerio de RN(ca)</t>
  </si>
  <si>
    <t>Promerio de RC(am)</t>
  </si>
  <si>
    <t>Promerio de RC(np)</t>
  </si>
  <si>
    <t>Promerio de RC(ec)</t>
  </si>
  <si>
    <t>Ausencia de hoteles.</t>
  </si>
  <si>
    <t>Ausencia de hostales.</t>
  </si>
  <si>
    <t>Ausencia de hosterías.</t>
  </si>
  <si>
    <t>Ausencia de haciendas turísticas.</t>
  </si>
  <si>
    <t>Ausencia de lodges.</t>
  </si>
  <si>
    <t>Ausencia de refugios.</t>
  </si>
  <si>
    <t>Ausencia de campamentos turísticos.</t>
  </si>
  <si>
    <t>Ausencia de casa de huéspedes.</t>
  </si>
  <si>
    <t>El territorio cuenta con hoteles de dos y tres estrellas, categorizados y catastrados que cumplen con estándares de servicio básico.</t>
  </si>
  <si>
    <t>El territorio cuenta con hostales de una y dos estrellas, categorizados y catastrados que cumplen con estándares de servicio básico.</t>
  </si>
  <si>
    <t>El territorio cuenta con hostales de tres estrellas, categorizados y catastrados adecuadamente, cumpliendo estándares de servicio nacional e internacional.</t>
  </si>
  <si>
    <t>El territorio cuenta con hosterías de tres estrellas, categorizados y catastrados que cumplen con estándares de servicio básico.</t>
  </si>
  <si>
    <t>El territorio cuenta con hostales de cuatro y cinco estrellas, categorizados y catastrados adecuadamente, cumpliendo estándares de servicio nacional e internacional.</t>
  </si>
  <si>
    <t>El territorio cuenta con haciendas turísticas de tres estrellas, categorizados y catastrados que cumplen con estándares de servicio básico.</t>
  </si>
  <si>
    <t>El territorio cuenta con lodges de tres estrellas, categorizados y catastrados que cumplen con estándares de servicio básico.</t>
  </si>
  <si>
    <t>El territorio cuenta con haciendas turísticas de cuatro y cinco estrellas, categorizados y catastrados adecuadamente, cumpliendo estándares de servicio nacional e internacional.</t>
  </si>
  <si>
    <t>El territorio cuenta con lodges de cuatro y cinco estrellas, categorizados y catastrados adecuadamente, cumpliendo estándares de servicio nacional e internacional.</t>
  </si>
  <si>
    <t>Ausencia de Resorts.</t>
  </si>
  <si>
    <t>El territorio cuenta con resorts de cuatro estrellas, categorizados y catastrados que cumplen con estándares de servicio básico y forman parte de una marca nacional.</t>
  </si>
  <si>
    <t>El territorio cuenta con resorts de  cinco estrellas, categorizados y catastrados adecuadamente, cumpliendo estándares de servicio nacional e internacional, además forma parte de una cadena internacional.</t>
  </si>
  <si>
    <t>El territorio cuenta con hoteles de cuatro y cinco estrellas, categorizados y catastrados adecuadamente, cumpliendo estándares de servicio nacional e internacional, se evidencia la presencia de cadenas nacionales y/o internacionales.</t>
  </si>
  <si>
    <t>El territorio cuenta con refugios categorizados y catastrados adecuadamente, cumpliéndo con lo establecido en el marco normativo nacional respectivo.</t>
  </si>
  <si>
    <t>El territorio evidenica espacios de alojamiento no catastrados dentro del Sistema Nacional de Áreas Naturales Protegidas del país.</t>
  </si>
  <si>
    <t>El territorio cuenta con espacios adecuados para la generación de campamentos turísticos pero no con el equiámiento, facilidades e infraestructura requerida.</t>
  </si>
  <si>
    <t>El territorio cuenta con campamentos turísticos categorizados y catastrados adecuadamente, cumpliéndo con lo establecido en el marco normativo nacional respectivo.</t>
  </si>
  <si>
    <t>El territorio cuenta con viviendas destinadas para brindar alojamiento a los visitantes, pero las mismas no se encuentran catastradas ni categorizadas.</t>
  </si>
  <si>
    <t>Plazas de Comida</t>
  </si>
  <si>
    <t>Ausencia de restaurantes.</t>
  </si>
  <si>
    <t>Ausencia de cafeterías.</t>
  </si>
  <si>
    <t>Ausencia de bares.</t>
  </si>
  <si>
    <t>Ausencia de discotecas.</t>
  </si>
  <si>
    <t>Ausencia de establecimientos móviles.</t>
  </si>
  <si>
    <t>Ausencia de plazas de comida.</t>
  </si>
  <si>
    <t>Ausencia de servicios de catering.</t>
  </si>
  <si>
    <t>Existen empresas de restauración que brindan el servicio como parte de su portafolio.</t>
  </si>
  <si>
    <t>El territorio cuenta con restaurantes de tres a cinco tenedores, categorizados y catastrados adecuadamente, cumpliendo estándares de servicio nacional e internacional, se evidencia la presencia de cadenas nacionales y/o internacionales.</t>
  </si>
  <si>
    <t>El territorio cuenta con restaurantes de uno y dos tenedores, categorizados y catastrados que cumplen con estándares de servicio básico. 
Se puede evidenciar la presencia de fondas y sitios de venta de alimentos no catastrados.</t>
  </si>
  <si>
    <t>Existen empresas y/o personas naturales independientes que ofrecen el servicio en el territorio, cuentan con la LUAF actualizada y están catastrados por la Agencia Nacional de Turismo.</t>
  </si>
  <si>
    <t>El territorio cuenta con cafeterías de 1 a 2 tazas, catastradas adecuadamente por parte de la Agencia Nacional de Turismo.</t>
  </si>
  <si>
    <t>El territorio identifica la presencia de negocios orientados a la venta de bebidas calientes y/o frías no alcohólicas no catastradas.</t>
  </si>
  <si>
    <t>El territorio identifica la presencia de negocios orientados a la venta de bebidas alchólicas y/o no alcohólicas no catastradas.</t>
  </si>
  <si>
    <t>El territorio cuenta con bares de 1 a 3 copas, catastradas adecuadamente por parte de la Agencia Nacional de Turismo.</t>
  </si>
  <si>
    <t>El territorio identifica la presencia de negocios orientados a la esparcimiento nocturno con venta de bebidas alchólicas y/o no alcohólicas no catastradas.</t>
  </si>
  <si>
    <t>El territorio cuenta con establecimientos móviles debidamente catastrados y categorizados por la Agencia Nacional de Turismo.</t>
  </si>
  <si>
    <t>El territorio cuenta con plazas de comida debidamente catastrados y categorizados por la Agencia Nacional de Turismo.</t>
  </si>
  <si>
    <t>El territorio cuenta con establecimientos itinerantes que elaboran, expenden y/o sirven alimentos fríos y/o calientes, así como bebidas alcohólicas y/o no alcohólicas no catastradas.</t>
  </si>
  <si>
    <t>El territorio cuenta con agrupaciones de prestadores de servicios de alimenos y bebidas, pero no cumplen con los requisitos normativos nacionales y no están catastradas.</t>
  </si>
  <si>
    <t>Ausencia de agencias de viaje Mayoirstas.</t>
  </si>
  <si>
    <t>Ausencia de agencias de viaje internacionales.</t>
  </si>
  <si>
    <t>Ausencia de operadores turísticos.</t>
  </si>
  <si>
    <t>Ausencia de agencias de viajes duales.</t>
  </si>
  <si>
    <t>El territorio cuenta con agencias de viaje mayoristas catastrados adecuadamente y con la LUAF actualizada.</t>
  </si>
  <si>
    <t>El territorio cuenta con agencias de viaje internacionales catastrados adecuadamente y con la LUAF actualizada.</t>
  </si>
  <si>
    <t>El territorio cuenta con agencias operadoras de turismo catastrados adecuadamente y con la LUAF actualizada.</t>
  </si>
  <si>
    <t>El territorio cuenta con agencias de viaje duales catastrados adecuadamente y con la LUAF actualizada.</t>
  </si>
  <si>
    <t>El territorio forma parte de los programas turísticos (doméstico y receptivo) ofertados por centros de distribución turística cercanos.</t>
  </si>
  <si>
    <t>Transportación Mixta y Turística</t>
  </si>
  <si>
    <t>Transportación Terrestre por Carretera</t>
  </si>
  <si>
    <t>Transportación Terrestre por Ferrocarril</t>
  </si>
  <si>
    <t>Ausencia de transportación terrestre por carretera.</t>
  </si>
  <si>
    <t>Ausencia de transportación terrestre por ferrocarril.</t>
  </si>
  <si>
    <t>Ausencia de transportación aérea.</t>
  </si>
  <si>
    <t>Ausencia de transportación marítima.</t>
  </si>
  <si>
    <t>Ausencia de transportación fluvial.</t>
  </si>
  <si>
    <t>El territorio presenta actividades de intermediación turística orientada al turismo emisivo informales y no catastradas, orientadas a la venta directa a otras agencias de viaje.</t>
  </si>
  <si>
    <t>El territorio presenta actividades de intermediación turística orientada al turismo emisivo orientadas a la venta directa a los clientes finales de manera informales y no catastradas.</t>
  </si>
  <si>
    <t>El territorio presenta actividades de intermediación turística orientada al turismo emisivo y receptivo orientadas a la venta directa a los clientes finales de manera informales y no catastradas.</t>
  </si>
  <si>
    <t>El territorio cuenta con mecanismos de transportación interna con fines de desplazamiento público y/o comercial.</t>
  </si>
  <si>
    <t>El territorio cuenta con servicios de transportación terrestre turística por carretera, debidamente categorizadas y con la LUAF activa.</t>
  </si>
  <si>
    <t>El territorio cuenta con sistemas ferroviarios utilizados con finalidades de desplazamiento regular y comercial.</t>
  </si>
  <si>
    <t>El territorio cuenta con sistemas ferroviarios con fines turísticos, los mismos ofertan itinerarios y rutas aprobadas por los organismos públicos correspondientes.</t>
  </si>
  <si>
    <t>El territorio cuenta con frecuencias de conectividad aérea con fines comerciales y de carga.</t>
  </si>
  <si>
    <t>El territorio cuenta con frecuencias aéreashacia el mismo, bajo la negociación comercial denominada "charters".</t>
  </si>
  <si>
    <t>El territorio cuenta con servicios de transportación fluvial turística (embarcaciones turísticas), debidamente categorizadas y con la LUAF activa.</t>
  </si>
  <si>
    <t>El territorio cuenta con puertos de desembarque y embarque de pasajeros de cruceros y/o embarcaciones turísticas debidamente catastradas y con la LUAF activa.</t>
  </si>
  <si>
    <t>El territorio cuenta con puertos y embarcaciones que realizan transportación de pasajeros con fines comerciales y de movilidad de pasajeros regulares y carga en entornos marítimos.</t>
  </si>
  <si>
    <t>El territorio cuenta con puertos y embarcaciones que realizan transportación de pasajeros con fines comerciales y de movilidad de pasajeros regulares y carga en entornos hídricos internos.</t>
  </si>
  <si>
    <t>Guías Especializados en Patrimonio</t>
  </si>
  <si>
    <t>Ausencia de guías locales.</t>
  </si>
  <si>
    <t>Ausencia de guías nacionales.</t>
  </si>
  <si>
    <t>Ausencia de guías especializados en patrimonio.</t>
  </si>
  <si>
    <t>Ausencia de guías especializados de aventura.</t>
  </si>
  <si>
    <t>El territorio cuenta con guías locales con una licencia activa y otorgada por la Agencia Nacional de Turismo.</t>
  </si>
  <si>
    <t>El territorio cuenta con guías nacionales con una licencia activa y otorgada por la Agencia Nacional de Turismo que realizan actividades de interpretación en el sitio.</t>
  </si>
  <si>
    <t>El territorio cuenta con guías especializados en patrimonio natural y/o cultural con una licencia activa y otorgada por la Agencia Nacional de Turismo que realizan actividades de interpretación en el sitio.</t>
  </si>
  <si>
    <t>El territorio cuenta con guías especializados en aventura con una licencia activa y otorgada por la Agencia Nacional de Turismo que realizan actividades de interpretación en el sitio.</t>
  </si>
  <si>
    <t>Se evidencia la actividad de interpretación por personas de la localidad y/o comunidad que no cuentan con la licencia respectiva (informalidad).</t>
  </si>
  <si>
    <t>Se evidencia la actividad de interpretación turística por personas ajenas al territorio y que no cuentan con la licencia respectiva (informalidad).</t>
  </si>
  <si>
    <t>Se evidencia la actividad de interpretación turística por personas ajenas al territorio con importancia natural y/o cultural, y que no cuentan con la licencia respectiva (informalidad).</t>
  </si>
  <si>
    <t>Se evidencia la actividad de interpretación turística por personas ajenas al territorio en actividades de aventura, y que no cuentan con la licencia respectiva (informalidad).</t>
  </si>
  <si>
    <t>Turismo de Naturaleza</t>
  </si>
  <si>
    <t>Turismo de Sol y Playa</t>
  </si>
  <si>
    <t>Turismo Cultural</t>
  </si>
  <si>
    <t>Turismo Urbano</t>
  </si>
  <si>
    <t>Turismo Social</t>
  </si>
  <si>
    <t>Turismo Comunitario</t>
  </si>
  <si>
    <t xml:space="preserve">Turismo de Compras </t>
  </si>
  <si>
    <t>Turismo de Interéses Especiales</t>
  </si>
  <si>
    <t>El territorio cuenta, con recursos turísticos de naturaleza que permiten la realización de actividades turísticas relacionadas y específcas.</t>
  </si>
  <si>
    <t>El territorio cuenta, con recursos turísticos de sol y playa que permiten la realización de actividades turísticas relacionadas y específicas.</t>
  </si>
  <si>
    <t>El territorio cuenta, con recursos turísticos culturales que permiten la realización de actividades turísticas relacionadas y específicas.</t>
  </si>
  <si>
    <t>Ausencia de recursos turísticos de naturaleza.</t>
  </si>
  <si>
    <t>Ausencia de recursos turísticos de sol y playa.</t>
  </si>
  <si>
    <t>Ausencia de recursos turísticos culturales.</t>
  </si>
  <si>
    <t>Ausencia de recursos turísticos urbanos.</t>
  </si>
  <si>
    <t>El territorio cuenta, con recursos turísticos urbanos que permiten la realización de actividades turísticas relacionadas y específicas.</t>
  </si>
  <si>
    <t xml:space="preserve">El territorio cuenta con recursos turísticos de naturaleza, prestadores de servicios turísticos, infraestructura básica y conectividad al lugar para la realización de actividades relacionadas. </t>
  </si>
  <si>
    <t xml:space="preserve">El territorio cuenta con recursos turísticos de sol y playa, prestadores de servicios turísticos, infraestructura básica y conectividad al lugar para la realización de actividades relacionadas. </t>
  </si>
  <si>
    <t xml:space="preserve">El territorio cuenta con recursos turísticos culturales, prestadores de servicios turísticos, infraestructura básica y conectividad al lugar para la realización de actividades relacionadas. </t>
  </si>
  <si>
    <t xml:space="preserve">El territorio cuenta con recursos turísticos urbanos, prestadores de servicios turísticos, infraestructura básica y conectividad al lugar para la realización de actividades relacionadas. </t>
  </si>
  <si>
    <t>El territorio cuenta con recursos turísticos especializados o alternativo, prestadores de servicios turísticos, infraestructura básica y conectividad al lugar para la realización de actividades relacionadas. .</t>
  </si>
  <si>
    <t xml:space="preserve">El territorio cuenta con recursos turísticos rurales, prestadores de servicios turísticos, infraestructura básica y conectividad al lugar para la realización de actividades relacionadas. </t>
  </si>
  <si>
    <t xml:space="preserve">El territorio cuenta con recursos agroturísticos, prestadores de servicios turísticos, infraestructura básica y conectividad al lugar para la realización de actividades relacionadas. </t>
  </si>
  <si>
    <t>El territorio cuenta con recursos turísticos, prestadores de servicios turísticos, infraestructura básica y conectividad al lugar para la realización de actividades de aventura.</t>
  </si>
  <si>
    <t>El territorio cuenta con recursos etnoturísticos, prestadores de servicios turísticos, infraestructura básica y conectividad al lugar para la realización de actividades relacionadas.</t>
  </si>
  <si>
    <t xml:space="preserve">El territorio cuenta con recursos turísticos, prestadores de servicios turísticos, infraestructura básica y conectividad al lugar para la realización de actividades de turismo deportivo. </t>
  </si>
  <si>
    <t>El territorio cuenta con recursos turísticos de naturaleza, prestadores de servicios turísticos, infraestructura básica y conectividad al lugar para la realización de actividades de ecoturismo.</t>
  </si>
  <si>
    <t xml:space="preserve">El territorio cuenta con recursos turísticos, prestadores de servicios turísticos, infraestructura básica y conectividad al lugar para la realización de actividades de turismo de negocios. </t>
  </si>
  <si>
    <t xml:space="preserve">El territorio cuenta con recursos turísticos gastronómicos, prestadores de servicios turísticos, infraestructura básica y conectividad al lugar para la realización de actividades relacionadas. </t>
  </si>
  <si>
    <t xml:space="preserve">El territorio cuenta con recursos turísticos, prestadores de servicios turísticos, infraestructura básica y conectividad al lugar para la realización de actividades de turismo activo. </t>
  </si>
  <si>
    <t xml:space="preserve">El territorio cuenta con recursos turísticos, prestadores de servicios turísticos, infraestructura básica y conectividad al lugar para la realización de actividades de turismo vivencial. </t>
  </si>
  <si>
    <t>El territorio cuenta con recursos turísticos, prestadores de servicios turísticos, infraestructura básica y conectividad al lugar para la realización de actividades de turismo experiencial.</t>
  </si>
  <si>
    <t xml:space="preserve">El territorio cuenta con recursos turísticos patrimoniales, prestadores de servicios turísticos, infraestructura básica y conectividad al lugar para la realización de actividades relacionadas. </t>
  </si>
  <si>
    <t xml:space="preserve">El territorio cuenta con recursos turísticos históricos, prestadores de servicios turísticos, infraestructura básica y conectividad al lugar para la realización de actividades relacionadas. </t>
  </si>
  <si>
    <t>El territorio cuenta con recursos turísticos arqueológicos, prestadores de servicios turísticos, infraestructura básica y conectividad al lugar para la realización de actividades relacionadas.</t>
  </si>
  <si>
    <t>El territorio cuenta con recursos turísticos arquitectónicos y/o monumentales, prestadores de servicios turísticos, infraestructura básica y conectividad al lugar para la realización de actividades relacionadas.</t>
  </si>
  <si>
    <t xml:space="preserve">El territorio cuenta con recursos turísticos, prestadores de servicios turísticos, infraestructura básica y conectividad al lugar para la realización de actividades de turismo literario. </t>
  </si>
  <si>
    <t>El territorio cuenta con recursos turísticos, prestadores de servicios turísticos, infraestructura básica y conectividad al lugar para la realización de actividades de turismo astronómico.</t>
  </si>
  <si>
    <t xml:space="preserve">El territorio cuenta con recursos turísticos, prestadores de servicios turísticos, infraestructura básica y conectividad al lugar para la realización de actividades de turismo espacial. </t>
  </si>
  <si>
    <t xml:space="preserve">El territorio cuenta con recursos turísticos, prestadores de servicios turísticos, infraestructura básica y conectividad al lugar para la realización de actividades de turismo de compras. </t>
  </si>
  <si>
    <t xml:space="preserve">El territorio cuenta con recursos enoturísticos, prestadores de servicios turísticos, infraestructura básica y conectividad al lugar para la realización de actividades relacionadas. </t>
  </si>
  <si>
    <t xml:space="preserve">El territorio cuenta con recursos turísticos, prestadores de servicios turísticos, infraestructura básica y conectividad al lugar para la realización de actividades de turismo de salud. </t>
  </si>
  <si>
    <t xml:space="preserve">El territorio cuenta con recursos turísticos artísticos, lúdicos y/o festivos, prestadores de servicios turísticos, infraestructura básica y conectividad al lugar para la realización de actividades relacionadas. </t>
  </si>
  <si>
    <t xml:space="preserve">El territorio cuenta con recursos turísticos, prestadores de servicios turísticos, infraestructura básica y conectividad al lugar para la realización de actividades de turismo cinematográfico. </t>
  </si>
  <si>
    <t xml:space="preserve">El territorio cuenta con recursos turísticos, prestadores de servicios turísticos, infraestructura básica y conectividad al lugar para la realización de actividades de turismo cinegético. </t>
  </si>
  <si>
    <t xml:space="preserve">El territorio cuenta con recursos turísticos, prestadores de servicios turísticos, infraestructura básica y conectividad al lugar para la realización de actividades de turismo de interéses especiales. </t>
  </si>
  <si>
    <t>El territorio cuenta con recursos turísticos, prestadores de servicios turísticos, infraestructura básica y conectividad al lugar para la realización de actividades de turismo idiomático.</t>
  </si>
  <si>
    <t xml:space="preserve">El territorio cuenta con recursos turísticos, prestadores de servicios turísticos, infraestructura básica y conectividad al lugar para la realización de actividades de turismo de cruceros. </t>
  </si>
  <si>
    <t>El territorio cuenta con recursos turísticos marino-costeros, prestadores de servicios turísticos, infraestructura básica y conectividad al lugar para la realización de actividades relacionadas.</t>
  </si>
  <si>
    <t xml:space="preserve">El territorio cuenta con recursos turísticos, prestadores de servicios turísticos, infraestructura básica y conectividad al lugar para la realización de actividades de turismo náutico. </t>
  </si>
  <si>
    <t>El territorio cuenta con recursos turísticos religiosos, prestadores de servicios turísticos, infraestructura básica y conectividad al lugar para la realización de actividades relacionadas.</t>
  </si>
  <si>
    <t xml:space="preserve">El territorio cuenta con recursos turísticos, prestadores de servicios turísticos, infraestructura básica y conectividad al lugar para la realización de actividades de turismo social. </t>
  </si>
  <si>
    <t xml:space="preserve">El territorio cuenta con recursos turísticos, prestadores de servicios turísticos, infraestructura básica y conectividad al lugar para la realización de actividades de turismo comunitario. </t>
  </si>
  <si>
    <t>El territorio cuenta, con recursos turísticos que permiten la realización de actividades turísticas especializadas o alternativas.</t>
  </si>
  <si>
    <t>El territorio cuenta, con recursos turísticos rurales que permiten la realización de actividades turísticas relacionadas y específicas.</t>
  </si>
  <si>
    <t>El territorio cuenta, con recursos agroturísticos que permiten la realización de actividades turísticas relacionadas y específicas.</t>
  </si>
  <si>
    <t>El territorio cuenta, con recursos etnoturísticos que permiten la realización de actividades turísticas relacionadas y específicas..</t>
  </si>
  <si>
    <t>El territorio cuenta, con recursos turísticos que permiten la realización de actividades turísticas de aventura.</t>
  </si>
  <si>
    <t>El territorio cuenta, con recursos turísticos que permiten la realización de actividades de turismo deportivo.</t>
  </si>
  <si>
    <t>El territorio cuenta, con recursos turísticos naturales que permiten la realización de actividades ecoturísticas.</t>
  </si>
  <si>
    <t>El territorio cuenta, con recursos turísticos que permiten la realización de actividades de turismo urbano.</t>
  </si>
  <si>
    <t>El territorio cuenta, con recursos turísticos gastronómicos que permiten la realización de actividades turísticas relacionadas y específicas.</t>
  </si>
  <si>
    <t>El territorio cuenta, con recursos turísticos que permiten la realización de actividades de turismo activo.</t>
  </si>
  <si>
    <t>El territorio cuenta, con recursos turísticos que permiten la realización de actividades de turismo vivencial.</t>
  </si>
  <si>
    <t>El territorio cuenta, con recursos turísticos que permiten la realización de actividades de turismo experiencial.</t>
  </si>
  <si>
    <t>El territorio cuenta, con recursos turísticos patrimoniales que permiten la realización de actividades turísticas relacionadas y específicas.</t>
  </si>
  <si>
    <t>El territorio cuenta, con recursos turísticos históricos que permiten la realización de actividades turísticas relacionadas y específicas.</t>
  </si>
  <si>
    <t>El territorio cuenta, con recursos turísticos arqueológicos que permiten la realización de actividades turísticas relacionadas y específicas.</t>
  </si>
  <si>
    <t>El territorio cuenta, con recursos turísticos arquitectónicos y/o monumentales que permiten la realización de actividades turísticas relacionadas y específicas.</t>
  </si>
  <si>
    <t>El territorio cuenta, con recursos turísticos que permiten la realización de actividades de turismo literario.</t>
  </si>
  <si>
    <t>El territorio cuenta, con recursos turísticos que permiten la realización de actividades de turismo astronómico.</t>
  </si>
  <si>
    <t>El territorio cuenta, con recursos turísticos que permiten la realización de actividades de turismo espacial.</t>
  </si>
  <si>
    <t>El territorio cuenta, con recursos turísticos que permiten la realización de actividades de turismo de compras.</t>
  </si>
  <si>
    <t>El territorio cuenta, con recursos enoturísticos que permiten la realización de actividades turísticas relacionadas y específicas.</t>
  </si>
  <si>
    <t>El territorio cuenta, con recursos turísticos que permiten la realización de actividades de turismo de salud.</t>
  </si>
  <si>
    <t>El territorio cuenta, con recursos turísticos artísticos, lúdicos y/o festivos que permiten la realización de actividades turísticas relacionadas y específicas.</t>
  </si>
  <si>
    <t>El territorio cuenta, con recursos turísticos que permiten la realización de actividades de turismo cinematográfico.</t>
  </si>
  <si>
    <t>El territorio cuenta, con recursos turísticos que permiten la realización de actividades de turismo cinegético</t>
  </si>
  <si>
    <t>El territorio cuenta, con recursos turísticos que permiten la realización de actividades de turismo de interéses especiales.</t>
  </si>
  <si>
    <t>El territorio cuenta, con recursos turísticos  que permiten la realización de actividades de turismo idiomático.</t>
  </si>
  <si>
    <t>El territorio cuenta, con recursos turísticos que permiten la realización de actividades de turismo de cruceros.</t>
  </si>
  <si>
    <t>El territorio cuenta, con recursos turísticos marino-costeros que permiten la realización de actividades turísticas relacionadas y específicas.</t>
  </si>
  <si>
    <t>El territorio cuenta, con recursos turísticos que permiten la realización de actividades de turismo náutico.</t>
  </si>
  <si>
    <t>El territorio cuenta, con recursos turísticos religiosos que permiten la realización de actividades turísticas relacionadas y específicas.</t>
  </si>
  <si>
    <t>El territorio cuenta, con recursos turísticos que permiten la realización de actividades de turismo social.</t>
  </si>
  <si>
    <t>El territorio cuenta, con recursos turísticos que permiten la realización de actividades de turismo comunitario.</t>
  </si>
  <si>
    <t>Ausencia de recursos turísticos que permitan actividades especializadas o alternativas.</t>
  </si>
  <si>
    <t>Ausencia de recursos turísticos de rurales.</t>
  </si>
  <si>
    <t>Ausencia de recursos agroturísticos.</t>
  </si>
  <si>
    <t>Ausencia de recursos etnoturísticos.</t>
  </si>
  <si>
    <t>Ausencia de recursos turísticos que permitan actividades de turismo de aventura.</t>
  </si>
  <si>
    <t>Ausencia de recursos turísticos que permitan actividades de turismo deportivo.</t>
  </si>
  <si>
    <t>Ausencia de recursos turísticos que permitan actividades de turismo de negocios.</t>
  </si>
  <si>
    <t>Ausencia de recursos turísticos que permitan actividades de turismo activo.</t>
  </si>
  <si>
    <t>Ausencia de recursos turísticos que permitan actividades de turismo vivencial.</t>
  </si>
  <si>
    <t>Ausencia de recursos turísticos que permitan actividades de turismo de experiencial.</t>
  </si>
  <si>
    <t>Ausencia de recursos turísticos que permitan actividades de turismo literario.</t>
  </si>
  <si>
    <t>Ausencia de recursos turísticos que permitan actividades de turismo astronómico.</t>
  </si>
  <si>
    <t>Ausencia de recursos turísticos que permitan actividades de turismo espacial.</t>
  </si>
  <si>
    <t>Ausencia de recursos turísticos que permitan actividades de turismo de compras.</t>
  </si>
  <si>
    <t>Ausencia de recursos turísticos que permitan actividades de turismo de salud.</t>
  </si>
  <si>
    <t>Ausencia de recursos turísticos que permitan actividades de turismo cinematográfico.</t>
  </si>
  <si>
    <t>Ausencia de recursos turísticos que permitan actividades de turismo cinegético.</t>
  </si>
  <si>
    <t>Ausencia de recursos turísticos que permitan actividades de turismo de interéses especiales.</t>
  </si>
  <si>
    <t>Ausencia de recursos turísticos que permitan actividades de turismo idiomático.</t>
  </si>
  <si>
    <t>Ausencia de recursos turísticos que permitan actividades de turismo de cruceros.</t>
  </si>
  <si>
    <t>Ausencia de recursos turísticos que permitan actividades de turismo náutico.</t>
  </si>
  <si>
    <t>Ausencia de recursos turísticos que permitan actividades de turismo social.</t>
  </si>
  <si>
    <t>Ausencia de recursos turísticos que permitan actividades de turismo comunitario.</t>
  </si>
  <si>
    <t>Ausencia de recursos ecoturísticos.</t>
  </si>
  <si>
    <t>Ausencia de recursos turísticos gastronómicos.</t>
  </si>
  <si>
    <t>Ausencia de recursos turísticos patrimoniales.</t>
  </si>
  <si>
    <t>Ausencia de recursos turísticos de históricos.</t>
  </si>
  <si>
    <t>Ausencia de recursos turísticos arqueológicos.</t>
  </si>
  <si>
    <t>Ausencia de recursos turísticos arquitectónicos y/o monumentales.</t>
  </si>
  <si>
    <t>Ausencia de recursos enoturísticos.</t>
  </si>
  <si>
    <t>Ausencia de recursos turísticos artísticos, lúdicos y/o festivos.</t>
  </si>
  <si>
    <t>Ausencia de recursos turísticos marino-costeros.</t>
  </si>
  <si>
    <t>Ausencia de recursos turísticos religiosos.</t>
  </si>
  <si>
    <t>Transporte</t>
  </si>
  <si>
    <t>Comunicaciones</t>
  </si>
  <si>
    <t>Salud</t>
  </si>
  <si>
    <t>Energía Eléctirca</t>
  </si>
  <si>
    <t>Agua Potable</t>
  </si>
  <si>
    <t>Alcantarillado</t>
  </si>
  <si>
    <t>Tratamiento de Basura</t>
  </si>
  <si>
    <t>Tratamiento de Aguas Residuales</t>
  </si>
  <si>
    <t>Conectividad</t>
  </si>
  <si>
    <t>Valor Ponderado</t>
  </si>
  <si>
    <t>Vialidad</t>
  </si>
  <si>
    <t>Señalización</t>
  </si>
  <si>
    <t>Flujos Turísticos Locales</t>
  </si>
  <si>
    <t>Flujos Turísticos Nacionales</t>
  </si>
  <si>
    <t>Flujos Turísticos Regionales</t>
  </si>
  <si>
    <t>Flujos Turísticos Internacionales</t>
  </si>
  <si>
    <t>Estadía Promedio</t>
  </si>
  <si>
    <t>Organismo Público Promotor</t>
  </si>
  <si>
    <t>Plan de Marketing Asociado</t>
  </si>
  <si>
    <t>Tendencias de Mercado Actuales</t>
  </si>
  <si>
    <t>Publicidad y Promoción</t>
  </si>
  <si>
    <t>Comercialización Turística Tradicional</t>
  </si>
  <si>
    <t>Comercialización Turística Digital</t>
  </si>
  <si>
    <t>Presencia Digital</t>
  </si>
  <si>
    <t>Imagen del Sitio</t>
  </si>
  <si>
    <t>Investigación y Segmentación de Mercados</t>
  </si>
  <si>
    <t>Innovación Turística</t>
  </si>
  <si>
    <t>ANÁLISIS DE LA OFERTA TURÍSTICA E INFRAESTRUCTURA DEL TERRITORIO</t>
  </si>
  <si>
    <t>Componentes de la Demanda Turística y Superestructura</t>
  </si>
  <si>
    <t>ANÁLISIS DE LA DEMANDA TURÍSTICA  Y SUPERESTRUCTURA DEL TERRITORIO</t>
  </si>
  <si>
    <r>
      <t>2. Superestructura del Turismo (</t>
    </r>
    <r>
      <rPr>
        <sz val="9"/>
        <color theme="1"/>
        <rFont val="Amasis MT Pro"/>
        <family val="1"/>
      </rPr>
      <t>S</t>
    </r>
    <r>
      <rPr>
        <sz val="9"/>
        <color theme="1"/>
        <rFont val="Amasis MT Pro Light"/>
        <family val="1"/>
      </rPr>
      <t>T</t>
    </r>
    <r>
      <rPr>
        <sz val="11"/>
        <color theme="1"/>
        <rFont val="Calibri"/>
        <family val="2"/>
        <scheme val="minor"/>
      </rPr>
      <t>)</t>
    </r>
  </si>
  <si>
    <t>Política Pública de Turismo</t>
  </si>
  <si>
    <t>Modelo de Gestión Turística</t>
  </si>
  <si>
    <t>Actores de la Actividad Turística</t>
  </si>
  <si>
    <t>Marco Normativo</t>
  </si>
  <si>
    <t>Participación Ciudadana</t>
  </si>
  <si>
    <t>Planificación Participativa</t>
  </si>
  <si>
    <t>Entes públicos encargados del Turismo</t>
  </si>
  <si>
    <t>Representación Gremial y asociaciones turísticas</t>
  </si>
  <si>
    <t>Representatividad Comunitaria</t>
  </si>
  <si>
    <t>Fomento al Sector Turístico</t>
  </si>
  <si>
    <t>Factores Endógenos</t>
  </si>
  <si>
    <t>Factores Exógenos</t>
  </si>
  <si>
    <t>Centro de Turismo Comunitario (Alojamiento)</t>
  </si>
  <si>
    <t>El territorio no cuenta con un Centro de Turismo Comunitario.</t>
  </si>
  <si>
    <t>El territorio cuenta con un centro de turismo comunitario que ofrece viviendas destinadas para brindar alojamiento a los visitantes, pero las mismas no se encuentran autorizadas ni catastradas.</t>
  </si>
  <si>
    <t>El territorio cuenta con casas de huéspedes categorizados y catastrados adecuadamente, cumpliéndo con lo establecido en el marco normativo nacional respectivo.</t>
  </si>
  <si>
    <t>El territorio cuenta con centro de turismo comunitario categorizados y catastrados adecuadamente, que ofrece servicios de alojamiento, cumpliéndo con lo establecido en el marco normativo nacional respectivo.</t>
  </si>
  <si>
    <t>Centro de Turismo Comunitario (Restauración)</t>
  </si>
  <si>
    <t>El territorio cuenta con un centro de turismo comunitario que ofrece servicio de alimentos y bebidas a los visitantes, pero las mismas no se encuentran autorizadas ni catastradas.</t>
  </si>
  <si>
    <t>El territorio cuenta con centro de turismo comunitario categorizados y catastrados adecuadamente, que ofrece servicios de alimentos y bebidas, cumpliéndo con lo establecido en el marco normativo nacional respectivo.</t>
  </si>
  <si>
    <t>Centro de Turismo Comunitario (Operación Turística)</t>
  </si>
  <si>
    <t>El territorio cuenta con un centro de turismo comunitario que ofrece servicio de operación turística a los visitantes, pero las mismas no se encuentran autorizadas ni catastradas.</t>
  </si>
  <si>
    <t>El territorio cuenta con centro de turismo comunitario categorizados y catastrados adecuadamente, que ofrece servicios de operación turística, cumpliéndo con lo establecido en el marco normativo nacional respectivo.</t>
  </si>
  <si>
    <t>Centro de Turismo Comunitario (Transportación Turística)</t>
  </si>
  <si>
    <t>El territorio cuenta con un centro de turismo comunitario que ofrece servicio de transportación turística a los visitantes, pero las mismas no se encuentran autorizadas ni catastradas.</t>
  </si>
  <si>
    <t>El territorio cuenta con centro de turismo comunitario categorizados y catastrados adecuadamente, que ofrece servicios de transportación turística, cumpliéndo con lo establecido en el marco normativo nacional respectivo.</t>
  </si>
  <si>
    <t>El territorio presenta un periodo de estancia inferior a 24 horas.</t>
  </si>
  <si>
    <t>El territorio presenta un periodo de estancia superior a 72 horas</t>
  </si>
  <si>
    <t>El territorio presenta un periodo de estancia superior a 24 horas e inferior a 72 horas</t>
  </si>
  <si>
    <t>El territorio cuenta con una imagen distintiva, diferenciadora, representativa y con un posicionamiento internacional.</t>
  </si>
  <si>
    <t>El territorio no cuenta con una imagen distintiva, diferenciadora, representativa y con posicionamiento local.</t>
  </si>
  <si>
    <t>El territorio cuenta con una imagen distintiva, poco diferenciadora y con un posicionamiento nacional.</t>
  </si>
  <si>
    <t>El territorio no cuenta con recursos turísticos que se puedan utilizar para ajustarlos a los requerimientos de las tendencias de mercado.</t>
  </si>
  <si>
    <t>El territorio cuenta con atractivos turísticos, equipamiento e infraestructura de apoyo para poder adaptar su oferta a las tendencias de mercado.</t>
  </si>
  <si>
    <t>El territorio cuenta con recursos turísticos que se puedan utilizar para ajustarlos a los requerimientos de las tendencias de mercado, pero no se ha generado el ajuste de la oferta.</t>
  </si>
  <si>
    <t>El territorio no cuenta con un plan de marketing propio y/o asociado.</t>
  </si>
  <si>
    <t>El territorio cuenta con un plan de marketing asociado a un plan estratégico establecido para un territorio mayor.</t>
  </si>
  <si>
    <t>El territorio cuenta con un plan de marketing propio que aborde los requerimientos específicos del sitio.</t>
  </si>
  <si>
    <t>El territorio no cuenta con profesionales encargado de la actividad turística.</t>
  </si>
  <si>
    <t>El territorio cuenta con profesionales en otras áreas del conocimiento encargados de la actividad turística.</t>
  </si>
  <si>
    <t>El territorio cuenta con un departamento encargado del desarrollo y control de la actividad turística en el sitio.</t>
  </si>
  <si>
    <t>El territorio no cuenta con información primaria y secundaria referente a los visitantes del sitio.</t>
  </si>
  <si>
    <t>El territorio cuenta con información secundaria referente a los visitantes del sitio.</t>
  </si>
  <si>
    <t>El territorio cuenta con información primaria y secundaria relevante referente a los visitantes del sitio.</t>
  </si>
  <si>
    <t>El territorio no cuenta publicidad y/o promoción tradicional o disruptiva propia.</t>
  </si>
  <si>
    <t>El territorio cuenta con publicidad y/o promoción tradicional referente al patrimonio turístico del sitio.</t>
  </si>
  <si>
    <t>El territorio cuenta con publicidad y/o promoción tradicional y disruptiva referente al patrimonio turístico del sitio.</t>
  </si>
  <si>
    <t>El territorio no cuenta con intermediadores de mercado en el sitio.</t>
  </si>
  <si>
    <t>El territorio forma parte de la oferta de turismo de la provincia y/o cantón ofrecida por parte de los intermediadiores de mercado del territorio adyacente.</t>
  </si>
  <si>
    <t>El territorio no cuenta con intermediadores de mercado digitales en el sitio.</t>
  </si>
  <si>
    <t>El territorio forma parte de la oferta turística de la provincio y/o cantón ofrecida de forma digital por parte de los intermediadores de mercado adyacentes.</t>
  </si>
  <si>
    <t>El territorio cuenta con intermediadores de mercado en el sitio y además forma parte de la oferta turística generada por intermediadores nacionales.</t>
  </si>
  <si>
    <t>El territorio cuenta con intermediadores de mercado con oferta digital en el sitio y además forma parte de la oferta digital de los intermediadores nacionales.</t>
  </si>
  <si>
    <t>El territorio no cuenta con presencia digital (página web, blogs de viaje, redes sociales)</t>
  </si>
  <si>
    <t>El territorio tiene presencia en redes sociales con información relevante en el ámbito del turismo.</t>
  </si>
  <si>
    <t>El territorio cuenta con una página web propia y redes sociales, relacionadas directamente con el ámbito del turismo.</t>
  </si>
  <si>
    <t>No se evidencia un proceso de innovación en la oferta de productos y servicios turísticos en el territorio.</t>
  </si>
  <si>
    <t>Se evidencia la generación y apoyo en los procesos de innovación turística para la prestación de servicios turísticos (característicos y relacionados) y el diseño de productos turísticos en el sitio.</t>
  </si>
  <si>
    <t>El destino no cuenta con visitación turística de visitantes locales.</t>
  </si>
  <si>
    <t>El destino no cuenta con visitación turística de visitantes regionales.</t>
  </si>
  <si>
    <t>El destino no cuenta con visitación turística de visitantes nacionales.</t>
  </si>
  <si>
    <t>El destino no cuenta con visitación turística de visitantes internacionales.</t>
  </si>
  <si>
    <t>Visitas ocacionales y/o de paso en el territorio por encontrarse en la trayectoria hacia otros destinos.</t>
  </si>
  <si>
    <t>El territorio cuenta con visitación turística local evidenciable directo en el sitio.</t>
  </si>
  <si>
    <t>El territorio cuenta con visitación turística regional evidenciable directo en el sitio.</t>
  </si>
  <si>
    <t>El territorio cuenta con visitación turística nacional evidenciable directo en el sitio.</t>
  </si>
  <si>
    <t>El territorio cuenta con visitación turística internacional evidenciable directo en el sitio.</t>
  </si>
  <si>
    <t>El territorio cuenta con servicio de teléfono público, telefonía local e internet accecible para la localidad y los visitantes.</t>
  </si>
  <si>
    <t>El territorio cuenta con servicios de telefonía (pública y privada) accesible para la localidad y los visitantes.</t>
  </si>
  <si>
    <t>El territorio no cuenta con servicios de telecomunicaciones a favor de los visitantes.</t>
  </si>
  <si>
    <t>El territorio cuenta con caminos de herradura y de tercer orden para llegar a él y recorrerlo.</t>
  </si>
  <si>
    <t>El territorio cuenta con caminos de segundo y tercer orden para llegar a él y recorrerlo.</t>
  </si>
  <si>
    <t>El El territorio cuenta con caminos de primer, segundo y tercer orden para llegar a él y recorrerlo.</t>
  </si>
  <si>
    <t>El territorio cuenta con hospitales y centros de salud públicos y privados a disposición de los locales y visitantes.</t>
  </si>
  <si>
    <t xml:space="preserve">El territorio cuenta con un centro de salur para atención básica y primaria a favor de la localidad y los visitantes. </t>
  </si>
  <si>
    <t>El territorio cuenta con dispensarios médicos básicos para atención de los locales.</t>
  </si>
  <si>
    <t>El territorio cuenta con señalización vial para llegar a él pero no con señalización dentro del sitio.</t>
  </si>
  <si>
    <t>El territorio cuenta con señalización vial y turística para llegar a él y recorrer de manera eficiente el sitio.</t>
  </si>
  <si>
    <t>El territorio cuenta con señalización vial para llegar a él y dentro del sitio.</t>
  </si>
  <si>
    <t>El territorio cuenta con el servicio de recolección de basura de por lo menos dos veces a la semana, tratamiento de desechos y botadero de basura que cumple con estándares ambientales.</t>
  </si>
  <si>
    <t>El territorio cuenta con el servicio de recolección de basura de por lo menos una vez a la semana, tratamiento básico de desechos y botadero de basura básico.</t>
  </si>
  <si>
    <t>El territorio cuenta con el servicio de recolección de basura y un espacio para recolección y acumulación de desperdicios.</t>
  </si>
  <si>
    <t>El territorio cuenta con servicios de transporte público y privado terrestre.</t>
  </si>
  <si>
    <t>El territorio cuenta con servicios de transporte público y privado terrestre y marítimo/fluvial y/o aéreo.</t>
  </si>
  <si>
    <t>El territorio cuenta con servicios de transporte público y privado terrestre y marítimo/fluvial y aéreo.</t>
  </si>
  <si>
    <t>El territorio cuenta con terminal terrestre, aeropuertos y puertos para la llegada de los visitantes.</t>
  </si>
  <si>
    <t>El territorio cuenta con terminal terrestre y aeropuertos o puertos para la llegada de los visitantes.</t>
  </si>
  <si>
    <t>El territorio cuenta con espacios con acondicionamiento básico de ingreso de visitantes por vía terrestre.</t>
  </si>
  <si>
    <t>Territorio sin servicio de energía eléctria.</t>
  </si>
  <si>
    <t>Territorio sin servicio de agua potable.</t>
  </si>
  <si>
    <t>Territorio sin servicio de alcantarillado.</t>
  </si>
  <si>
    <t>Territorio sin servicio de tratamiento de aguas residuales.</t>
  </si>
  <si>
    <t>Abasto irregular de energía eléctrica doméstica y de alumbrado público con insuficiente cobertura.</t>
  </si>
  <si>
    <t>Abasto confiable, eficiente y oportuno de energía eléctrica en todo el territorio.</t>
  </si>
  <si>
    <t>Limitada cobertura con fuerte deficiencia y fallas en los servicios de agua potable.</t>
  </si>
  <si>
    <t>Servicios eficientes y con amplia cobertura de las redes de abasto de agua potable en el territorio.</t>
  </si>
  <si>
    <t>Todo el territorio cuenta con una cobertura amplia y un funcionamiento adecuado de la red de alcantarillado soterrado.</t>
  </si>
  <si>
    <t>Limitada cobertura de la red de alcantarillado en el territorio, la cual presenta deficiencias reales en la prestación del servicio.</t>
  </si>
  <si>
    <t>Limitada cobertura en la red de tratamiento de aguas residuales en el territorio, se evidencian falencias en su operatividad.</t>
  </si>
  <si>
    <t>El territorio demuestra una cobertura total para el tratamiento de aguas residuales con un funcionamiento adecuado y eficiente.</t>
  </si>
  <si>
    <t>Ausencia de políticas públicas para el desarrollo y/o fomento turístico.</t>
  </si>
  <si>
    <t>Ausencia de modelos de gestión turística evidenciados en el territorio.</t>
  </si>
  <si>
    <t>Inexistensia de un marco legal regulatorio relacionado con el ámbito turístico.</t>
  </si>
  <si>
    <t>Inexistencia de agremiaciones o representaciones de los actores privados y comunitarios.</t>
  </si>
  <si>
    <t>Ausencia de líneas de fomento y apoyo al mejoramiento y crecimiento de la actividad turística en el territorio.</t>
  </si>
  <si>
    <t>Precencia limitada y poco diferenciada de prestadores de servicios turísticos en el territorio.</t>
  </si>
  <si>
    <t>Ausencia de un ente público encargado del desarrollo y fomento turístico en el territorio.</t>
  </si>
  <si>
    <t>Nula participación ciudadana en los procesos de planificación, gestión y comercialización de la actividad turística en el territorio.</t>
  </si>
  <si>
    <t>Procesos de planificación arcáicos para el desarrollo y fortalecimiento de la actividad turística en el territorio.</t>
  </si>
  <si>
    <t>Ausencia de representaciones comunitarias en el territorio (organizaciones, líderes comunitarios, etc.).</t>
  </si>
  <si>
    <t>Existencia de agremiaciones y asociaciones turísticas limitadas con relación a las actividades de turismo establecidas en la normativa nacional.</t>
  </si>
  <si>
    <t>Existencia de agremiaciones y asociaciones en turismo diversar que cumplen con los lineamientos normativos nacionales e internacionales.</t>
  </si>
  <si>
    <t>Ineficiente aplicación de los marcos normativos relacionados con la actividad turística en el territorio.</t>
  </si>
  <si>
    <t>Marco normativo aplicado en el territorio de forma adecuada y eficiente.</t>
  </si>
  <si>
    <t xml:space="preserve">Procesos de participación ciudadana establecidos, normativizados y socializados entre todos los actores del turismo en el territorio. </t>
  </si>
  <si>
    <t>Procesos de participación ciudadana incompatibles y centralizados sin tomar en cuenta a la localidad y a todos los actores del territorio.</t>
  </si>
  <si>
    <t xml:space="preserve">Procesos de planificación con enfoques, modelos, sistemas y actores bien definidos y adaptados con la realidad territorial. </t>
  </si>
  <si>
    <t>El territorio cuenta con un área o departamento encargada de regular, controlar y apoyar en los procesos de desarrollo y fomento turístico en el lugar.</t>
  </si>
  <si>
    <t>El territorio no cuenta con un área o departamento encargada de regular, controlar y apoyar en los procesos de desarrollo y fomento turístico en el lugar; pero esta adscrito al territorio de mayor jerarquía de organización territorial a la que pertenece.</t>
  </si>
  <si>
    <t>El territorio cuenta con un líder comunitario y una organización comunitaria establecida y reconocida legalmente que demuestran interés en el ámbito turístico, formando parte activa de los procesos relacionados.</t>
  </si>
  <si>
    <t>El territorio cuenta con un líder comunitario, que forma parte de los procesos de desarrollo de la localidad pero con marcados interéses establecidos.</t>
  </si>
  <si>
    <t>El territorio cuenta con líneas de fomento turístico con estrategias claramente definidas que mejoren la calidad de vida de la localidad y la economía del territorio; brindadas por instituciones públicas y privadas diferenciadas para cada unos de los prestadores de servicios turísticos.</t>
  </si>
  <si>
    <r>
      <rPr>
        <b/>
        <sz val="11"/>
        <color theme="1"/>
        <rFont val="Calibri"/>
        <family val="2"/>
        <scheme val="minor"/>
      </rPr>
      <t>Elaborado por:</t>
    </r>
    <r>
      <rPr>
        <sz val="11"/>
        <color theme="1"/>
        <rFont val="Calibri"/>
        <family val="2"/>
        <scheme val="minor"/>
      </rPr>
      <t xml:space="preserve"> Lic. Numa Sebastián Calle Lituma, Esp. Mg. MBA. PhD (c)</t>
    </r>
  </si>
  <si>
    <r>
      <rPr>
        <b/>
        <sz val="11"/>
        <color theme="1"/>
        <rFont val="Calibri"/>
        <family val="2"/>
        <scheme val="minor"/>
      </rPr>
      <t>Fuente:</t>
    </r>
    <r>
      <rPr>
        <sz val="11"/>
        <color theme="1"/>
        <rFont val="Calibri"/>
        <family val="2"/>
        <scheme val="minor"/>
      </rPr>
      <t xml:space="preserve"> Antón; 2016 &amp; Vera Rebollo; 2017</t>
    </r>
  </si>
  <si>
    <t>Ausencia de prestadores de servicios turísticos en el territorio.</t>
  </si>
  <si>
    <t>Presencia diversificada de prestadores de servicios turísticos en dieversas actividades turísticas en el territorio.</t>
  </si>
  <si>
    <t>SUPERESTRUCTURA DEL TURISMO</t>
  </si>
  <si>
    <t>Gestión Pública, Gobernanza Turística, Gobernabilidad, Política Turística, entre otras.</t>
  </si>
  <si>
    <t>Evidencia de un modelo de gestión turística del territorio desactualizado y poco técnico.</t>
  </si>
  <si>
    <t>Modelo de gestión turística territorial eficiente y eficaz adecuado para el territorio.</t>
  </si>
  <si>
    <t>Presencia de políticas públicas relacionadas con el cuidado y la conservación del patrimonio y el medio ambiente.</t>
  </si>
  <si>
    <t>Evidencia clara de la existencia de una política pública de turísmo orientada a desarrollar y/o fomentar competitivamente el turismo en el territorio.</t>
  </si>
  <si>
    <t>Zonas de Litoral (RNzl)</t>
  </si>
  <si>
    <t>Zonas de Montaña (RNzm)</t>
  </si>
  <si>
    <t>Áreas Naturales Protegidas (RNap)</t>
  </si>
  <si>
    <t>Cuerpos de Agua (RNca)</t>
  </si>
  <si>
    <t>Artístico Monumental (RCam)</t>
  </si>
  <si>
    <t>Nacionalidades y Pueblos (RCnp)</t>
  </si>
  <si>
    <t>Expresiones Contemporáneas (Rcec)</t>
  </si>
  <si>
    <t>Alojamiento (PTa)</t>
  </si>
  <si>
    <t>Restauración (PTr)</t>
  </si>
  <si>
    <t>Intermediación Turística (PTi)</t>
  </si>
  <si>
    <t>Transportación Turística (PTt)</t>
  </si>
  <si>
    <t>Interpretación Turística (PTg)</t>
  </si>
  <si>
    <t>Tipologías de Turismo (TT)</t>
  </si>
  <si>
    <t>Infraestructura Básica y de Apoyo (I)</t>
  </si>
  <si>
    <t>Planta Turística (ET)</t>
  </si>
  <si>
    <t>Recursos Turísticos (RT)</t>
  </si>
  <si>
    <t>Promerio de PT(a)</t>
  </si>
  <si>
    <t>Promerio de PT(r)</t>
  </si>
  <si>
    <t>Promerio de PT(i)</t>
  </si>
  <si>
    <t>Promerio de PT(t)</t>
  </si>
  <si>
    <t>Promerio de PT(g)</t>
  </si>
  <si>
    <t>Promerio de TT</t>
  </si>
  <si>
    <t>Promerio de I</t>
  </si>
  <si>
    <t>Promerio de DT(at)</t>
  </si>
  <si>
    <t>Promerio de DT(mk)</t>
  </si>
  <si>
    <t>Promerio de ST</t>
  </si>
  <si>
    <t>Afluencia Turística (AT)</t>
  </si>
  <si>
    <t>Marketing Turístico (MK)</t>
  </si>
  <si>
    <t>Superestructura del Turismo (ST)</t>
  </si>
  <si>
    <r>
      <t>2. Marketing Turístico (</t>
    </r>
    <r>
      <rPr>
        <sz val="9"/>
        <color theme="1"/>
        <rFont val="Amasis MT Pro"/>
        <family val="1"/>
      </rPr>
      <t>MK</t>
    </r>
    <r>
      <rPr>
        <sz val="11"/>
        <color theme="1"/>
        <rFont val="Calibri"/>
        <family val="2"/>
        <scheme val="minor"/>
      </rPr>
      <t>)</t>
    </r>
  </si>
  <si>
    <t>Ausencia de Bosques</t>
  </si>
  <si>
    <t>Ausencia de Flora y Fauna.</t>
  </si>
  <si>
    <t>Ausencia de valles.</t>
  </si>
  <si>
    <t>Alta deforestación y progresiva contaminación en las sierras.</t>
  </si>
  <si>
    <t>Fuerte erosión y contaminación en las cañadas.</t>
  </si>
  <si>
    <t>Fuerte erosión y contaminación en las cañones.</t>
  </si>
  <si>
    <t>Fuerte erosión y contaminación en los géisers.</t>
  </si>
  <si>
    <t>Fuerte erosión y contaminación en los volcanes.</t>
  </si>
  <si>
    <t>Fuerte erosión y contaminación en los valles.</t>
  </si>
  <si>
    <t>Fuerte deterioro en las zonas de bosques, y contaminación por la proliferación de residuos sólidos.</t>
  </si>
  <si>
    <t>Pérdida de Flora y Fauna por la inmersión de la actividad humana.</t>
  </si>
  <si>
    <t>Valles conservados en su estructura geológica natural, sin contaminación, adaptadas y seguras para la actividad turística.</t>
  </si>
  <si>
    <t>Volcanes conservados en su estructura geológica natural, sin contaminación, adaptadas y seguras para la actividad turística.</t>
  </si>
  <si>
    <t>Bosques con presencia de conservación ambiental vigente y normativa aplicable en el sitio.</t>
  </si>
  <si>
    <t>Folra y Fauna endémica y manejada con principios de conservación y cuidado.</t>
  </si>
  <si>
    <t>Fuerte impacto en las zonas desérticas y contaminación de residuos sólidos e industriales en la zona.</t>
  </si>
  <si>
    <t>Se evidencia la generación y apoyo para la innovación turística en la prestación de servicios característicos y relacionados con el turismo.</t>
  </si>
  <si>
    <t>Los componentes del sistema turístico del territorio puede acceder a líneas de fomento en proyectos con viabilidad económica que propendan a la mejora continua del sector turístico.</t>
  </si>
  <si>
    <t>Procesos de planificación básicos sin un enfoque(s) definido, el análisis del sistema turístico es básico y limitado; además se evidencia la poca adaptación a la realidad territorial.</t>
  </si>
  <si>
    <t>Sin eventos Históricos y/o Religiosos</t>
  </si>
  <si>
    <t>Prof. Ronal Chaca Espinoza. Phd</t>
  </si>
  <si>
    <t>Elaborado por: Prof. Ronal Chaca Espinoza. Phd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</si>
</sst>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9"/>
      <color theme="1"/>
      <name val="Amasis MT Pro"/>
      <family val="1"/>
    </font>
    <font>
      <sz val="9"/>
      <color theme="1"/>
      <name val="Amasis MT Pro Light"/>
      <family val="1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42">
    <xf numFmtId="0" fontId="0" fillId="0" borderId="0" xfId="0"/>
    <xf numFmtId="0" fontId="0" fillId="2" borderId="0" xfId="0" applyFill="1" applyProtection="1">
      <protection locked="0"/>
    </xf>
    <xf numFmtId="0" fontId="3" fillId="3" borderId="2" xfId="0" applyFont="1" applyFill="1" applyBorder="1" applyAlignment="1" applyProtection="1">
      <alignment horizontal="center" vertical="center"/>
      <protection locked="0"/>
    </xf>
    <xf numFmtId="0" fontId="3" fillId="3" borderId="3" xfId="0" applyFont="1" applyFill="1" applyBorder="1" applyAlignment="1" applyProtection="1">
      <alignment horizontal="center" vertical="center"/>
      <protection locked="0"/>
    </xf>
    <xf numFmtId="0" fontId="3" fillId="5" borderId="1" xfId="0" applyFont="1" applyFill="1" applyBorder="1" applyAlignment="1" applyProtection="1">
      <alignment vertical="center"/>
      <protection locked="0"/>
    </xf>
    <xf numFmtId="0" fontId="3" fillId="3" borderId="2" xfId="0" applyFont="1" applyFill="1" applyBorder="1" applyProtection="1">
      <protection locked="0"/>
    </xf>
    <xf numFmtId="0" fontId="3" fillId="3" borderId="3" xfId="0" applyFont="1" applyFill="1" applyBorder="1" applyProtection="1">
      <protection locked="0"/>
    </xf>
    <xf numFmtId="0" fontId="3" fillId="7" borderId="1" xfId="0" applyFont="1" applyFill="1" applyBorder="1" applyAlignment="1" applyProtection="1">
      <alignment vertical="center"/>
      <protection locked="0"/>
    </xf>
    <xf numFmtId="0" fontId="3" fillId="3" borderId="5" xfId="0" applyFont="1" applyFill="1" applyBorder="1" applyAlignment="1" applyProtection="1">
      <alignment horizontal="center" vertical="center"/>
      <protection locked="0"/>
    </xf>
    <xf numFmtId="0" fontId="3" fillId="3" borderId="6" xfId="0" applyFont="1" applyFill="1" applyBorder="1" applyAlignment="1" applyProtection="1">
      <alignment horizontal="center" vertical="center"/>
      <protection locked="0"/>
    </xf>
    <xf numFmtId="0" fontId="3" fillId="3" borderId="7" xfId="0" applyFont="1" applyFill="1" applyBorder="1" applyProtection="1">
      <protection locked="0"/>
    </xf>
    <xf numFmtId="0" fontId="3" fillId="3" borderId="5" xfId="0" applyFont="1" applyFill="1" applyBorder="1" applyProtection="1">
      <protection locked="0"/>
    </xf>
    <xf numFmtId="0" fontId="3" fillId="3" borderId="6" xfId="0" applyFont="1" applyFill="1" applyBorder="1" applyProtection="1">
      <protection locked="0"/>
    </xf>
    <xf numFmtId="0" fontId="4" fillId="3" borderId="7" xfId="0" applyFont="1" applyFill="1" applyBorder="1" applyProtection="1">
      <protection locked="0"/>
    </xf>
    <xf numFmtId="0" fontId="1" fillId="2" borderId="11" xfId="0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1" fillId="2" borderId="3" xfId="0" applyFont="1" applyFill="1" applyBorder="1" applyAlignment="1" applyProtection="1">
      <alignment horizontal="center" vertical="center"/>
      <protection locked="0"/>
    </xf>
    <xf numFmtId="0" fontId="1" fillId="2" borderId="3" xfId="0" applyFont="1" applyFill="1" applyBorder="1" applyAlignment="1" applyProtection="1">
      <alignment horizontal="center" vertical="center" wrapText="1"/>
      <protection locked="0"/>
    </xf>
    <xf numFmtId="0" fontId="1" fillId="2" borderId="4" xfId="0" applyFont="1" applyFill="1" applyBorder="1" applyProtection="1">
      <protection locked="0"/>
    </xf>
    <xf numFmtId="0" fontId="1" fillId="2" borderId="2" xfId="0" applyFont="1" applyFill="1" applyBorder="1" applyProtection="1">
      <protection locked="0"/>
    </xf>
    <xf numFmtId="0" fontId="1" fillId="2" borderId="3" xfId="0" applyFont="1" applyFill="1" applyBorder="1" applyProtection="1">
      <protection locked="0"/>
    </xf>
    <xf numFmtId="0" fontId="1" fillId="2" borderId="3" xfId="0" applyFont="1" applyFill="1" applyBorder="1" applyAlignment="1" applyProtection="1">
      <alignment horizontal="center"/>
      <protection locked="0"/>
    </xf>
    <xf numFmtId="0" fontId="0" fillId="2" borderId="4" xfId="0" applyFill="1" applyBorder="1" applyProtection="1">
      <protection locked="0"/>
    </xf>
    <xf numFmtId="0" fontId="0" fillId="2" borderId="9" xfId="0" applyFill="1" applyBorder="1" applyProtection="1"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0" fillId="2" borderId="10" xfId="0" applyFill="1" applyBorder="1" applyProtection="1">
      <protection locked="0"/>
    </xf>
    <xf numFmtId="0" fontId="0" fillId="2" borderId="5" xfId="0" applyFill="1" applyBorder="1" applyProtection="1">
      <protection locked="0"/>
    </xf>
    <xf numFmtId="0" fontId="0" fillId="2" borderId="6" xfId="0" applyFill="1" applyBorder="1" applyProtection="1">
      <protection locked="0"/>
    </xf>
    <xf numFmtId="0" fontId="0" fillId="2" borderId="7" xfId="0" applyFill="1" applyBorder="1" applyProtection="1">
      <protection locked="0"/>
    </xf>
    <xf numFmtId="0" fontId="1" fillId="2" borderId="9" xfId="0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horizontal="center" vertical="center" wrapText="1"/>
      <protection locked="0"/>
    </xf>
    <xf numFmtId="0" fontId="1" fillId="2" borderId="10" xfId="0" applyFont="1" applyFill="1" applyBorder="1" applyProtection="1">
      <protection locked="0"/>
    </xf>
    <xf numFmtId="0" fontId="1" fillId="2" borderId="9" xfId="0" applyFont="1" applyFill="1" applyBorder="1" applyProtection="1">
      <protection locked="0"/>
    </xf>
    <xf numFmtId="0" fontId="1" fillId="2" borderId="0" xfId="0" applyFont="1" applyFill="1" applyProtection="1">
      <protection locked="0"/>
    </xf>
    <xf numFmtId="0" fontId="1" fillId="2" borderId="0" xfId="0" applyFont="1" applyFill="1" applyAlignment="1" applyProtection="1">
      <alignment horizontal="center"/>
      <protection locked="0"/>
    </xf>
    <xf numFmtId="0" fontId="0" fillId="2" borderId="0" xfId="0" applyFill="1" applyAlignment="1" applyProtection="1">
      <alignment horizontal="center"/>
      <protection locked="0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3" borderId="2" xfId="0" applyFont="1" applyFill="1" applyBorder="1"/>
    <xf numFmtId="0" fontId="3" fillId="3" borderId="3" xfId="0" applyFont="1" applyFill="1" applyBorder="1"/>
    <xf numFmtId="0" fontId="3" fillId="4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/>
    <xf numFmtId="0" fontId="3" fillId="3" borderId="5" xfId="0" applyFont="1" applyFill="1" applyBorder="1"/>
    <xf numFmtId="0" fontId="3" fillId="3" borderId="6" xfId="0" applyFont="1" applyFill="1" applyBorder="1"/>
    <xf numFmtId="0" fontId="4" fillId="3" borderId="7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1" fillId="3" borderId="9" xfId="0" applyFont="1" applyFill="1" applyBorder="1"/>
    <xf numFmtId="0" fontId="0" fillId="3" borderId="0" xfId="0" applyFill="1"/>
    <xf numFmtId="0" fontId="0" fillId="3" borderId="10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1" fillId="3" borderId="1" xfId="0" applyFont="1" applyFill="1" applyBorder="1"/>
    <xf numFmtId="0" fontId="0" fillId="2" borderId="2" xfId="0" applyFill="1" applyBorder="1" applyProtection="1">
      <protection locked="0"/>
    </xf>
    <xf numFmtId="0" fontId="0" fillId="2" borderId="3" xfId="0" applyFill="1" applyBorder="1" applyProtection="1">
      <protection locked="0"/>
    </xf>
    <xf numFmtId="0" fontId="6" fillId="10" borderId="2" xfId="0" applyFont="1" applyFill="1" applyBorder="1" applyAlignment="1" applyProtection="1">
      <alignment horizontal="center" wrapText="1"/>
      <protection locked="0"/>
    </xf>
    <xf numFmtId="0" fontId="6" fillId="10" borderId="4" xfId="0" applyFont="1" applyFill="1" applyBorder="1" applyAlignment="1" applyProtection="1">
      <alignment wrapText="1"/>
      <protection locked="0"/>
    </xf>
    <xf numFmtId="2" fontId="1" fillId="2" borderId="1" xfId="0" applyNumberFormat="1" applyFont="1" applyFill="1" applyBorder="1" applyAlignment="1" applyProtection="1">
      <alignment vertical="center"/>
      <protection locked="0"/>
    </xf>
    <xf numFmtId="0" fontId="0" fillId="2" borderId="0" xfId="0" applyFill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9" xfId="0" applyFill="1" applyBorder="1"/>
    <xf numFmtId="0" fontId="0" fillId="2" borderId="10" xfId="0" applyFill="1" applyBorder="1"/>
    <xf numFmtId="0" fontId="6" fillId="10" borderId="1" xfId="0" applyFont="1" applyFill="1" applyBorder="1" applyAlignment="1">
      <alignment horizontal="center" vertical="center" wrapText="1"/>
    </xf>
    <xf numFmtId="0" fontId="6" fillId="10" borderId="21" xfId="0" applyFont="1" applyFill="1" applyBorder="1" applyAlignment="1">
      <alignment horizontal="left" vertical="center" wrapText="1"/>
    </xf>
    <xf numFmtId="0" fontId="6" fillId="10" borderId="22" xfId="0" applyFont="1" applyFill="1" applyBorder="1" applyAlignment="1">
      <alignment horizontal="center" vertical="center" wrapText="1"/>
    </xf>
    <xf numFmtId="0" fontId="6" fillId="10" borderId="23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/>
    </xf>
    <xf numFmtId="2" fontId="1" fillId="2" borderId="23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left" vertical="center"/>
    </xf>
    <xf numFmtId="2" fontId="0" fillId="2" borderId="10" xfId="0" applyNumberFormat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1" fillId="2" borderId="9" xfId="0" applyFont="1" applyFill="1" applyBorder="1"/>
    <xf numFmtId="0" fontId="1" fillId="2" borderId="19" xfId="0" applyFont="1" applyFill="1" applyBorder="1" applyAlignment="1">
      <alignment horizontal="center" vertical="center"/>
    </xf>
    <xf numFmtId="2" fontId="1" fillId="2" borderId="20" xfId="0" applyNumberFormat="1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2" fontId="1" fillId="2" borderId="0" xfId="0" applyNumberFormat="1" applyFont="1" applyFill="1" applyAlignment="1">
      <alignment vertical="center"/>
    </xf>
    <xf numFmtId="0" fontId="1" fillId="2" borderId="28" xfId="0" applyFont="1" applyFill="1" applyBorder="1" applyAlignment="1">
      <alignment horizontal="center" vertical="center"/>
    </xf>
    <xf numFmtId="2" fontId="1" fillId="2" borderId="7" xfId="0" applyNumberFormat="1" applyFont="1" applyFill="1" applyBorder="1" applyAlignment="1">
      <alignment horizontal="center" vertical="center"/>
    </xf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1" fillId="2" borderId="16" xfId="0" applyFont="1" applyFill="1" applyBorder="1" applyAlignment="1" applyProtection="1">
      <alignment horizontal="left" vertical="center" wrapText="1"/>
      <protection locked="0"/>
    </xf>
    <xf numFmtId="0" fontId="1" fillId="2" borderId="16" xfId="0" applyFont="1" applyFill="1" applyBorder="1" applyAlignment="1">
      <alignment horizontal="center" vertical="center" wrapText="1"/>
    </xf>
    <xf numFmtId="2" fontId="0" fillId="2" borderId="0" xfId="0" applyNumberFormat="1" applyFill="1"/>
    <xf numFmtId="0" fontId="3" fillId="4" borderId="8" xfId="0" applyFont="1" applyFill="1" applyBorder="1" applyAlignment="1" applyProtection="1">
      <alignment vertical="center"/>
      <protection locked="0"/>
    </xf>
    <xf numFmtId="0" fontId="3" fillId="4" borderId="8" xfId="0" applyFont="1" applyFill="1" applyBorder="1" applyAlignment="1">
      <alignment vertical="center"/>
    </xf>
    <xf numFmtId="0" fontId="1" fillId="2" borderId="13" xfId="0" applyFont="1" applyFill="1" applyBorder="1" applyAlignment="1" applyProtection="1">
      <alignment horizontal="left" vertical="center"/>
      <protection locked="0"/>
    </xf>
    <xf numFmtId="0" fontId="1" fillId="2" borderId="12" xfId="0" applyFont="1" applyFill="1" applyBorder="1" applyAlignment="1" applyProtection="1">
      <alignment horizontal="left" vertical="center"/>
      <protection locked="0"/>
    </xf>
    <xf numFmtId="0" fontId="1" fillId="2" borderId="11" xfId="0" applyFont="1" applyFill="1" applyBorder="1" applyAlignment="1" applyProtection="1">
      <alignment horizontal="left" vertical="center"/>
      <protection locked="0"/>
    </xf>
    <xf numFmtId="0" fontId="1" fillId="2" borderId="11" xfId="0" applyFont="1" applyFill="1" applyBorder="1" applyAlignment="1" applyProtection="1">
      <alignment horizontal="left" vertical="center" wrapText="1"/>
      <protection locked="0"/>
    </xf>
    <xf numFmtId="0" fontId="1" fillId="2" borderId="13" xfId="0" applyFont="1" applyFill="1" applyBorder="1" applyAlignment="1" applyProtection="1">
      <alignment horizontal="left" vertical="center" wrapText="1"/>
      <protection locked="0"/>
    </xf>
    <xf numFmtId="0" fontId="1" fillId="2" borderId="12" xfId="0" applyFont="1" applyFill="1" applyBorder="1" applyAlignment="1" applyProtection="1">
      <alignment horizontal="left" vertical="center" wrapText="1"/>
      <protection locked="0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wrapText="1"/>
    </xf>
    <xf numFmtId="0" fontId="3" fillId="3" borderId="6" xfId="0" applyFont="1" applyFill="1" applyBorder="1" applyAlignment="1">
      <alignment horizontal="center"/>
    </xf>
    <xf numFmtId="0" fontId="2" fillId="11" borderId="2" xfId="0" applyFont="1" applyFill="1" applyBorder="1" applyAlignment="1">
      <alignment horizontal="center"/>
    </xf>
    <xf numFmtId="0" fontId="2" fillId="11" borderId="3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1" borderId="9" xfId="0" applyFont="1" applyFill="1" applyBorder="1" applyAlignment="1">
      <alignment horizontal="center"/>
    </xf>
    <xf numFmtId="0" fontId="2" fillId="11" borderId="0" xfId="0" applyFont="1" applyFill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2" fillId="11" borderId="7" xfId="0" applyFont="1" applyFill="1" applyBorder="1" applyAlignment="1">
      <alignment horizontal="center"/>
    </xf>
    <xf numFmtId="0" fontId="0" fillId="2" borderId="0" xfId="0" applyFill="1" applyAlignment="1" applyProtection="1">
      <alignment horizontal="left" vertical="top" wrapText="1"/>
      <protection locked="0"/>
    </xf>
    <xf numFmtId="0" fontId="0" fillId="2" borderId="6" xfId="0" applyFill="1" applyBorder="1" applyAlignment="1" applyProtection="1">
      <alignment horizontal="left" vertical="top" wrapText="1"/>
      <protection locked="0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6" borderId="9" xfId="0" applyFont="1" applyFill="1" applyBorder="1" applyAlignment="1">
      <alignment horizontal="center"/>
    </xf>
    <xf numFmtId="0" fontId="2" fillId="6" borderId="0" xfId="0" applyFont="1" applyFill="1" applyAlignment="1">
      <alignment horizontal="center"/>
    </xf>
    <xf numFmtId="0" fontId="2" fillId="6" borderId="10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2" fillId="7" borderId="0" xfId="0" applyFont="1" applyFill="1" applyAlignment="1">
      <alignment horizontal="center"/>
    </xf>
    <xf numFmtId="0" fontId="2" fillId="7" borderId="10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2" fillId="13" borderId="2" xfId="0" applyFont="1" applyFill="1" applyBorder="1" applyAlignment="1">
      <alignment horizontal="center"/>
    </xf>
    <xf numFmtId="0" fontId="2" fillId="13" borderId="3" xfId="0" applyFont="1" applyFill="1" applyBorder="1" applyAlignment="1">
      <alignment horizontal="center"/>
    </xf>
    <xf numFmtId="0" fontId="2" fillId="13" borderId="4" xfId="0" applyFont="1" applyFill="1" applyBorder="1" applyAlignment="1">
      <alignment horizontal="center"/>
    </xf>
    <xf numFmtId="0" fontId="2" fillId="13" borderId="9" xfId="0" applyFont="1" applyFill="1" applyBorder="1" applyAlignment="1">
      <alignment horizontal="center"/>
    </xf>
    <xf numFmtId="0" fontId="2" fillId="13" borderId="0" xfId="0" applyFont="1" applyFill="1" applyAlignment="1">
      <alignment horizontal="center"/>
    </xf>
    <xf numFmtId="0" fontId="2" fillId="13" borderId="10" xfId="0" applyFont="1" applyFill="1" applyBorder="1" applyAlignment="1">
      <alignment horizontal="center"/>
    </xf>
    <xf numFmtId="0" fontId="2" fillId="13" borderId="5" xfId="0" applyFont="1" applyFill="1" applyBorder="1" applyAlignment="1">
      <alignment horizontal="center"/>
    </xf>
    <xf numFmtId="0" fontId="2" fillId="13" borderId="6" xfId="0" applyFont="1" applyFill="1" applyBorder="1" applyAlignment="1">
      <alignment horizontal="center"/>
    </xf>
    <xf numFmtId="0" fontId="2" fillId="13" borderId="7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0" fontId="2" fillId="8" borderId="0" xfId="0" applyFont="1" applyFill="1" applyAlignment="1">
      <alignment horizontal="center"/>
    </xf>
    <xf numFmtId="0" fontId="2" fillId="8" borderId="10" xfId="0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8" borderId="7" xfId="0" applyFont="1" applyFill="1" applyBorder="1" applyAlignment="1">
      <alignment horizontal="center"/>
    </xf>
    <xf numFmtId="0" fontId="2" fillId="9" borderId="2" xfId="0" applyFont="1" applyFill="1" applyBorder="1" applyAlignment="1">
      <alignment horizontal="center"/>
    </xf>
    <xf numFmtId="0" fontId="2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9" borderId="9" xfId="0" applyFont="1" applyFill="1" applyBorder="1" applyAlignment="1">
      <alignment horizontal="center"/>
    </xf>
    <xf numFmtId="0" fontId="2" fillId="9" borderId="0" xfId="0" applyFont="1" applyFill="1" applyAlignment="1">
      <alignment horizontal="center"/>
    </xf>
    <xf numFmtId="0" fontId="2" fillId="9" borderId="10" xfId="0" applyFont="1" applyFill="1" applyBorder="1" applyAlignment="1">
      <alignment horizontal="center"/>
    </xf>
    <xf numFmtId="0" fontId="2" fillId="9" borderId="5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9" borderId="7" xfId="0" applyFont="1" applyFill="1" applyBorder="1" applyAlignment="1">
      <alignment horizontal="center"/>
    </xf>
    <xf numFmtId="0" fontId="2" fillId="12" borderId="2" xfId="0" applyFont="1" applyFill="1" applyBorder="1" applyAlignment="1" applyProtection="1">
      <alignment horizontal="center"/>
      <protection locked="0"/>
    </xf>
    <xf numFmtId="0" fontId="2" fillId="12" borderId="3" xfId="0" applyFont="1" applyFill="1" applyBorder="1" applyAlignment="1" applyProtection="1">
      <alignment horizontal="center"/>
      <protection locked="0"/>
    </xf>
    <xf numFmtId="0" fontId="2" fillId="12" borderId="4" xfId="0" applyFont="1" applyFill="1" applyBorder="1" applyAlignment="1" applyProtection="1">
      <alignment horizontal="center"/>
      <protection locked="0"/>
    </xf>
    <xf numFmtId="0" fontId="2" fillId="12" borderId="9" xfId="0" applyFont="1" applyFill="1" applyBorder="1" applyAlignment="1" applyProtection="1">
      <alignment horizontal="center"/>
      <protection locked="0"/>
    </xf>
    <xf numFmtId="0" fontId="2" fillId="12" borderId="0" xfId="0" applyFont="1" applyFill="1" applyAlignment="1" applyProtection="1">
      <alignment horizontal="center"/>
      <protection locked="0"/>
    </xf>
    <xf numFmtId="0" fontId="2" fillId="12" borderId="10" xfId="0" applyFont="1" applyFill="1" applyBorder="1" applyAlignment="1" applyProtection="1">
      <alignment horizontal="center"/>
      <protection locked="0"/>
    </xf>
    <xf numFmtId="0" fontId="2" fillId="12" borderId="5" xfId="0" applyFont="1" applyFill="1" applyBorder="1" applyAlignment="1" applyProtection="1">
      <alignment horizontal="center"/>
      <protection locked="0"/>
    </xf>
    <xf numFmtId="0" fontId="2" fillId="12" borderId="6" xfId="0" applyFont="1" applyFill="1" applyBorder="1" applyAlignment="1" applyProtection="1">
      <alignment horizontal="center"/>
      <protection locked="0"/>
    </xf>
    <xf numFmtId="0" fontId="2" fillId="12" borderId="7" xfId="0" applyFont="1" applyFill="1" applyBorder="1" applyAlignment="1" applyProtection="1">
      <alignment horizontal="center"/>
      <protection locked="0"/>
    </xf>
    <xf numFmtId="0" fontId="3" fillId="3" borderId="11" xfId="0" applyFont="1" applyFill="1" applyBorder="1" applyAlignment="1" applyProtection="1">
      <alignment horizontal="center" vertical="center"/>
      <protection locked="0"/>
    </xf>
    <xf numFmtId="0" fontId="3" fillId="3" borderId="12" xfId="0" applyFont="1" applyFill="1" applyBorder="1" applyAlignment="1" applyProtection="1">
      <alignment horizontal="center" vertical="center"/>
      <protection locked="0"/>
    </xf>
    <xf numFmtId="0" fontId="3" fillId="3" borderId="3" xfId="0" applyFont="1" applyFill="1" applyBorder="1" applyAlignment="1" applyProtection="1">
      <alignment horizontal="center" vertical="center" wrapText="1"/>
      <protection locked="0"/>
    </xf>
    <xf numFmtId="0" fontId="3" fillId="3" borderId="6" xfId="0" applyFont="1" applyFill="1" applyBorder="1" applyAlignment="1" applyProtection="1">
      <alignment horizontal="center" vertical="center" wrapText="1"/>
      <protection locked="0"/>
    </xf>
    <xf numFmtId="0" fontId="3" fillId="3" borderId="3" xfId="0" applyFont="1" applyFill="1" applyBorder="1" applyAlignment="1" applyProtection="1">
      <alignment horizontal="center" wrapText="1"/>
      <protection locked="0"/>
    </xf>
    <xf numFmtId="0" fontId="3" fillId="3" borderId="6" xfId="0" applyFont="1" applyFill="1" applyBorder="1" applyAlignment="1" applyProtection="1">
      <alignment horizontal="center"/>
      <protection locked="0"/>
    </xf>
    <xf numFmtId="0" fontId="0" fillId="2" borderId="0" xfId="0" applyFill="1" applyAlignment="1" applyProtection="1">
      <alignment horizontal="left"/>
      <protection locked="0"/>
    </xf>
    <xf numFmtId="0" fontId="0" fillId="2" borderId="0" xfId="0" applyFill="1" applyAlignment="1" applyProtection="1">
      <alignment horizontal="center"/>
      <protection locked="0"/>
    </xf>
    <xf numFmtId="9" fontId="0" fillId="2" borderId="17" xfId="0" applyNumberFormat="1" applyFill="1" applyBorder="1" applyAlignment="1">
      <alignment horizontal="center" vertical="center" wrapText="1"/>
    </xf>
    <xf numFmtId="9" fontId="0" fillId="2" borderId="0" xfId="0" applyNumberFormat="1" applyFill="1" applyAlignment="1">
      <alignment horizontal="center" vertical="center" wrapText="1"/>
    </xf>
    <xf numFmtId="9" fontId="0" fillId="2" borderId="18" xfId="0" applyNumberFormat="1" applyFill="1" applyBorder="1" applyAlignment="1">
      <alignment horizontal="center" vertical="center" wrapText="1"/>
    </xf>
    <xf numFmtId="4" fontId="0" fillId="2" borderId="17" xfId="1" applyNumberFormat="1" applyFont="1" applyFill="1" applyBorder="1" applyAlignment="1" applyProtection="1">
      <alignment horizontal="center" vertical="center" wrapText="1"/>
    </xf>
    <xf numFmtId="4" fontId="0" fillId="2" borderId="0" xfId="1" applyNumberFormat="1" applyFont="1" applyFill="1" applyBorder="1" applyAlignment="1" applyProtection="1">
      <alignment horizontal="center" vertical="center" wrapText="1"/>
    </xf>
    <xf numFmtId="4" fontId="0" fillId="2" borderId="18" xfId="1" applyNumberFormat="1" applyFont="1" applyFill="1" applyBorder="1" applyAlignment="1" applyProtection="1">
      <alignment horizontal="center" vertical="center" wrapText="1"/>
    </xf>
    <xf numFmtId="2" fontId="1" fillId="2" borderId="25" xfId="0" applyNumberFormat="1" applyFont="1" applyFill="1" applyBorder="1" applyAlignment="1">
      <alignment horizontal="center" vertical="center" wrapText="1"/>
    </xf>
    <xf numFmtId="2" fontId="1" fillId="2" borderId="10" xfId="0" applyNumberFormat="1" applyFont="1" applyFill="1" applyBorder="1" applyAlignment="1">
      <alignment horizontal="center" vertical="center" wrapText="1"/>
    </xf>
    <xf numFmtId="2" fontId="1" fillId="2" borderId="27" xfId="0" applyNumberFormat="1" applyFont="1" applyFill="1" applyBorder="1" applyAlignment="1">
      <alignment horizontal="center" vertical="center" wrapText="1"/>
    </xf>
    <xf numFmtId="0" fontId="0" fillId="2" borderId="24" xfId="0" applyFill="1" applyBorder="1" applyAlignment="1">
      <alignment horizontal="left" vertical="center" wrapText="1"/>
    </xf>
    <xf numFmtId="0" fontId="0" fillId="2" borderId="9" xfId="0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6" fillId="10" borderId="8" xfId="0" applyFont="1" applyFill="1" applyBorder="1" applyAlignment="1">
      <alignment horizontal="center"/>
    </xf>
    <xf numFmtId="0" fontId="6" fillId="10" borderId="15" xfId="0" applyFont="1" applyFill="1" applyBorder="1" applyAlignment="1">
      <alignment horizontal="center"/>
    </xf>
    <xf numFmtId="0" fontId="6" fillId="10" borderId="5" xfId="0" applyFont="1" applyFill="1" applyBorder="1" applyAlignment="1">
      <alignment horizontal="center" vertical="center"/>
    </xf>
    <xf numFmtId="0" fontId="6" fillId="10" borderId="6" xfId="0" applyFont="1" applyFill="1" applyBorder="1" applyAlignment="1">
      <alignment horizontal="center" vertical="center"/>
    </xf>
    <xf numFmtId="0" fontId="6" fillId="10" borderId="7" xfId="0" applyFont="1" applyFill="1" applyBorder="1" applyAlignment="1">
      <alignment horizontal="center" vertical="center"/>
    </xf>
    <xf numFmtId="0" fontId="0" fillId="2" borderId="26" xfId="0" applyFill="1" applyBorder="1" applyAlignment="1">
      <alignment horizontal="left" vertical="center" wrapText="1"/>
    </xf>
    <xf numFmtId="0" fontId="0" fillId="2" borderId="24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26" xfId="0" applyFill="1" applyBorder="1" applyAlignment="1">
      <alignment horizontal="left" vertical="center"/>
    </xf>
    <xf numFmtId="2" fontId="0" fillId="2" borderId="10" xfId="0" applyNumberFormat="1" applyFill="1" applyBorder="1" applyAlignment="1" applyProtection="1">
      <alignment horizontal="center" vertical="center" wrapText="1"/>
      <protection locked="0"/>
    </xf>
    <xf numFmtId="0" fontId="1" fillId="2" borderId="24" xfId="0" applyFont="1" applyFill="1" applyBorder="1" applyAlignment="1" applyProtection="1">
      <alignment horizontal="center" vertical="center"/>
      <protection locked="0"/>
    </xf>
    <xf numFmtId="0" fontId="1" fillId="2" borderId="26" xfId="0" applyFont="1" applyFill="1" applyBorder="1" applyAlignment="1" applyProtection="1">
      <alignment horizontal="center" vertical="center"/>
      <protection locked="0"/>
    </xf>
    <xf numFmtId="0" fontId="1" fillId="2" borderId="25" xfId="0" applyFont="1" applyFill="1" applyBorder="1" applyAlignment="1" applyProtection="1">
      <alignment horizontal="center" vertical="center"/>
      <protection locked="0"/>
    </xf>
    <xf numFmtId="0" fontId="1" fillId="2" borderId="27" xfId="0" applyFont="1" applyFill="1" applyBorder="1" applyAlignment="1" applyProtection="1">
      <alignment horizontal="center" vertical="center"/>
      <protection locked="0"/>
    </xf>
    <xf numFmtId="0" fontId="1" fillId="2" borderId="10" xfId="0" applyFont="1" applyFill="1" applyBorder="1" applyAlignment="1" applyProtection="1">
      <alignment horizontal="center" vertical="center"/>
      <protection locked="0"/>
    </xf>
    <xf numFmtId="0" fontId="1" fillId="2" borderId="9" xfId="0" applyFont="1" applyFill="1" applyBorder="1" applyAlignment="1" applyProtection="1">
      <alignment horizontal="center" vertical="center"/>
      <protection locked="0"/>
    </xf>
    <xf numFmtId="0" fontId="0" fillId="2" borderId="24" xfId="0" applyFill="1" applyBorder="1" applyAlignment="1" applyProtection="1">
      <alignment horizontal="left" vertical="center" wrapText="1"/>
      <protection locked="0"/>
    </xf>
    <xf numFmtId="0" fontId="0" fillId="2" borderId="9" xfId="0" applyFill="1" applyBorder="1" applyAlignment="1" applyProtection="1">
      <alignment horizontal="left" vertical="center" wrapText="1"/>
      <protection locked="0"/>
    </xf>
    <xf numFmtId="0" fontId="0" fillId="2" borderId="26" xfId="0" applyFill="1" applyBorder="1" applyAlignment="1" applyProtection="1">
      <alignment horizontal="left" vertical="center" wrapText="1"/>
      <protection locked="0"/>
    </xf>
    <xf numFmtId="0" fontId="0" fillId="2" borderId="9" xfId="0" applyFill="1" applyBorder="1" applyAlignment="1" applyProtection="1">
      <alignment horizontal="left" vertical="center"/>
      <protection locked="0"/>
    </xf>
    <xf numFmtId="0" fontId="6" fillId="10" borderId="8" xfId="0" applyFont="1" applyFill="1" applyBorder="1" applyAlignment="1" applyProtection="1">
      <alignment horizontal="center"/>
      <protection locked="0"/>
    </xf>
    <xf numFmtId="0" fontId="6" fillId="10" borderId="15" xfId="0" applyFont="1" applyFill="1" applyBorder="1" applyAlignment="1" applyProtection="1">
      <alignment horizontal="center"/>
      <protection locked="0"/>
    </xf>
    <xf numFmtId="0" fontId="1" fillId="2" borderId="5" xfId="0" applyFont="1" applyFill="1" applyBorder="1" applyAlignment="1" applyProtection="1">
      <alignment horizontal="center" vertical="center"/>
      <protection locked="0"/>
    </xf>
    <xf numFmtId="0" fontId="1" fillId="2" borderId="7" xfId="0" applyFont="1" applyFill="1" applyBorder="1" applyAlignment="1" applyProtection="1">
      <alignment horizontal="center" vertical="center"/>
      <protection locked="0"/>
    </xf>
    <xf numFmtId="0" fontId="0" fillId="2" borderId="24" xfId="0" applyFill="1" applyBorder="1" applyAlignment="1" applyProtection="1">
      <alignment horizontal="left" vertical="center"/>
      <protection locked="0"/>
    </xf>
    <xf numFmtId="0" fontId="1" fillId="2" borderId="8" xfId="0" applyFont="1" applyFill="1" applyBorder="1" applyAlignment="1" applyProtection="1">
      <alignment horizontal="center" vertical="center"/>
      <protection locked="0"/>
    </xf>
    <xf numFmtId="0" fontId="1" fillId="2" borderId="14" xfId="0" applyFont="1" applyFill="1" applyBorder="1" applyAlignment="1" applyProtection="1">
      <alignment horizontal="center" vertical="center"/>
      <protection locked="0"/>
    </xf>
    <xf numFmtId="0" fontId="1" fillId="2" borderId="15" xfId="0" applyFont="1" applyFill="1" applyBorder="1" applyAlignment="1" applyProtection="1">
      <alignment horizontal="center" vertical="center"/>
      <protection locked="0"/>
    </xf>
    <xf numFmtId="0" fontId="6" fillId="10" borderId="8" xfId="0" applyFont="1" applyFill="1" applyBorder="1" applyAlignment="1" applyProtection="1">
      <alignment horizontal="center" vertical="center"/>
      <protection locked="0"/>
    </xf>
    <xf numFmtId="0" fontId="6" fillId="10" borderId="14" xfId="0" applyFont="1" applyFill="1" applyBorder="1" applyAlignment="1" applyProtection="1">
      <alignment horizontal="center" vertical="center"/>
      <protection locked="0"/>
    </xf>
    <xf numFmtId="0" fontId="6" fillId="10" borderId="15" xfId="0" applyFont="1" applyFill="1" applyBorder="1" applyAlignment="1" applyProtection="1">
      <alignment horizontal="center" vertical="center"/>
      <protection locked="0"/>
    </xf>
    <xf numFmtId="0" fontId="6" fillId="10" borderId="2" xfId="0" applyFont="1" applyFill="1" applyBorder="1" applyAlignment="1" applyProtection="1">
      <alignment horizontal="center" vertical="center" wrapText="1"/>
      <protection locked="0"/>
    </xf>
    <xf numFmtId="0" fontId="6" fillId="10" borderId="9" xfId="0" applyFont="1" applyFill="1" applyBorder="1" applyAlignment="1" applyProtection="1">
      <alignment horizontal="center" vertical="center" wrapText="1"/>
      <protection locked="0"/>
    </xf>
    <xf numFmtId="0" fontId="6" fillId="10" borderId="3" xfId="0" applyFont="1" applyFill="1" applyBorder="1" applyAlignment="1" applyProtection="1">
      <alignment horizontal="center" vertical="center" wrapText="1"/>
      <protection locked="0"/>
    </xf>
    <xf numFmtId="0" fontId="6" fillId="10" borderId="0" xfId="0" applyFont="1" applyFill="1" applyAlignment="1" applyProtection="1">
      <alignment horizontal="center" vertical="center" wrapText="1"/>
      <protection locked="0"/>
    </xf>
    <xf numFmtId="0" fontId="6" fillId="10" borderId="4" xfId="0" applyFont="1" applyFill="1" applyBorder="1" applyAlignment="1" applyProtection="1">
      <alignment horizontal="center" vertical="center" wrapText="1"/>
      <protection locked="0"/>
    </xf>
    <xf numFmtId="0" fontId="6" fillId="10" borderId="10" xfId="0" applyFont="1" applyFill="1" applyBorder="1" applyAlignment="1" applyProtection="1">
      <alignment horizontal="center" vertical="center" wrapText="1"/>
      <protection locked="0"/>
    </xf>
    <xf numFmtId="2" fontId="0" fillId="2" borderId="27" xfId="0" applyNumberFormat="1" applyFill="1" applyBorder="1" applyAlignment="1" applyProtection="1">
      <alignment horizontal="center" vertical="center" wrapText="1"/>
      <protection locked="0"/>
    </xf>
    <xf numFmtId="9" fontId="0" fillId="2" borderId="0" xfId="0" applyNumberFormat="1" applyFill="1" applyAlignment="1" applyProtection="1">
      <alignment horizontal="center" vertical="center" wrapText="1"/>
      <protection locked="0"/>
    </xf>
    <xf numFmtId="9" fontId="0" fillId="2" borderId="18" xfId="0" applyNumberFormat="1" applyFill="1" applyBorder="1" applyAlignment="1" applyProtection="1">
      <alignment horizontal="center" vertical="center" wrapText="1"/>
      <protection locked="0"/>
    </xf>
    <xf numFmtId="3" fontId="0" fillId="2" borderId="0" xfId="1" applyNumberFormat="1" applyFont="1" applyFill="1" applyBorder="1" applyAlignment="1" applyProtection="1">
      <alignment horizontal="center" vertical="center" wrapText="1"/>
      <protection locked="0"/>
    </xf>
    <xf numFmtId="3" fontId="0" fillId="2" borderId="18" xfId="1" applyNumberFormat="1" applyFont="1" applyFill="1" applyBorder="1" applyAlignment="1" applyProtection="1">
      <alignment horizontal="center" vertical="center" wrapText="1"/>
      <protection locked="0"/>
    </xf>
    <xf numFmtId="9" fontId="0" fillId="2" borderId="17" xfId="0" applyNumberFormat="1" applyFill="1" applyBorder="1" applyAlignment="1" applyProtection="1">
      <alignment horizontal="center" vertical="center" wrapText="1"/>
      <protection locked="0"/>
    </xf>
    <xf numFmtId="3" fontId="0" fillId="2" borderId="17" xfId="1" applyNumberFormat="1" applyFont="1" applyFill="1" applyBorder="1" applyAlignment="1" applyProtection="1">
      <alignment horizontal="center" vertical="center" wrapText="1"/>
      <protection locked="0"/>
    </xf>
    <xf numFmtId="2" fontId="0" fillId="2" borderId="25" xfId="0" applyNumberFormat="1" applyFill="1" applyBorder="1" applyAlignment="1" applyProtection="1">
      <alignment horizontal="center" vertical="center" wrapText="1"/>
      <protection locked="0"/>
    </xf>
    <xf numFmtId="0" fontId="7" fillId="2" borderId="0" xfId="0" applyFont="1" applyFill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5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Factores Endógenos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5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'Análisis Componentes FN'!$F$7:$F$18</c15:sqref>
                  </c15:fullRef>
                </c:ext>
              </c:extLst>
              <c:f>('Análisis Componentes FN'!$F$7,'Análisis Componentes FN'!$F$10,'Análisis Componentes FN'!$F$13,'Análisis Componentes FN'!$F$16)</c:f>
              <c:strCache>
                <c:ptCount val="4"/>
                <c:pt idx="0">
                  <c:v>1. Recursos Turísticos (RT)</c:v>
                </c:pt>
                <c:pt idx="1">
                  <c:v>2. Planta Turística (ET)</c:v>
                </c:pt>
                <c:pt idx="2">
                  <c:v>3. Tipologías de Turismo (TT)</c:v>
                </c:pt>
                <c:pt idx="3">
                  <c:v>4. Infraestructura (I)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'Análisis Componentes FN'!$H$7:$H$18</c15:sqref>
                  </c15:fullRef>
                </c:ext>
              </c:extLst>
              <c:f>('Análisis Componentes FN'!$H$7,'Análisis Componentes FN'!$H$10,'Análisis Componentes FN'!$H$13,'Análisis Componentes FN'!$H$16)</c:f>
              <c:numCache>
                <c:formatCode>#,##0.00</c:formatCode>
                <c:ptCount val="4"/>
                <c:pt idx="0">
                  <c:v>1.2386363636363638</c:v>
                </c:pt>
                <c:pt idx="1">
                  <c:v>1.31</c:v>
                </c:pt>
                <c:pt idx="2">
                  <c:v>1.2972972972972974</c:v>
                </c:pt>
                <c:pt idx="3">
                  <c:v>0.81818181818181823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087-4C76-B761-549FFF3AEC7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-1110119680"/>
        <c:axId val="-1110120768"/>
      </c:radarChart>
      <c:catAx>
        <c:axId val="-1110119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-1110120768"/>
        <c:crosses val="autoZero"/>
        <c:auto val="1"/>
        <c:lblAlgn val="ctr"/>
        <c:lblOffset val="100"/>
        <c:noMultiLvlLbl val="0"/>
      </c:catAx>
      <c:valAx>
        <c:axId val="-1110120768"/>
        <c:scaling>
          <c:orientation val="minMax"/>
          <c:max val="2"/>
        </c:scaling>
        <c:delete val="0"/>
        <c:axPos val="l"/>
        <c:majorGridlines>
          <c:spPr>
            <a:ln w="38100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-111011968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 rot="0"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spc="5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Factores Exógenos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5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'Análisis Componentes FX'!$F$5:$I$5</c:f>
              <c:strCache>
                <c:ptCount val="1"/>
                <c:pt idx="0">
                  <c:v>ANÁLISIS DE LA DEMANDA TURÍSTICA  Y SUPERESTRUCTURA DEL TERRITORIO</c:v>
                </c:pt>
              </c:strCache>
            </c:strRef>
          </c:tx>
          <c:spPr>
            <a:ln w="28575" cap="rnd">
              <a:solidFill>
                <a:schemeClr val="accent1"/>
              </a:solidFill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'Análisis Componentes FX'!$F$8:$F$16</c15:sqref>
                  </c15:fullRef>
                </c:ext>
              </c:extLst>
              <c:f>('Análisis Componentes FX'!$F$8,'Análisis Componentes FX'!$F$11,'Análisis Componentes FX'!$F$14)</c:f>
              <c:strCache>
                <c:ptCount val="3"/>
                <c:pt idx="0">
                  <c:v>1. Afluencia Turística (AT)</c:v>
                </c:pt>
                <c:pt idx="1">
                  <c:v>2. Marketing Turístico (MK)</c:v>
                </c:pt>
                <c:pt idx="2">
                  <c:v>2. Superestructura del Turismo (ST)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'Análisis Componentes FX'!$H$8:$H$16</c15:sqref>
                  </c15:fullRef>
                </c:ext>
              </c:extLst>
              <c:f>('Análisis Componentes FX'!$H$8,'Análisis Componentes FX'!$H$11,'Análisis Componentes FX'!$H$14)</c:f>
              <c:numCache>
                <c:formatCode>#,##0</c:formatCode>
                <c:ptCount val="3"/>
                <c:pt idx="0">
                  <c:v>1.25</c:v>
                </c:pt>
                <c:pt idx="1">
                  <c:v>1.5</c:v>
                </c:pt>
                <c:pt idx="2">
                  <c:v>1.2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761-4ED7-A15C-B18CD4A1E39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-1110125120"/>
        <c:axId val="-1110118592"/>
      </c:radarChart>
      <c:catAx>
        <c:axId val="-1110125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-1110118592"/>
        <c:crosses val="autoZero"/>
        <c:auto val="1"/>
        <c:lblAlgn val="ctr"/>
        <c:lblOffset val="100"/>
        <c:noMultiLvlLbl val="0"/>
      </c:catAx>
      <c:valAx>
        <c:axId val="-1110118592"/>
        <c:scaling>
          <c:orientation val="minMax"/>
          <c:max val="2"/>
        </c:scaling>
        <c:delete val="1"/>
        <c:axPos val="l"/>
        <c:majorGridlines>
          <c:spPr>
            <a:ln w="38100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crossAx val="-111012512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 rot="0"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ubbleChart>
        <c:varyColors val="0"/>
        <c:ser>
          <c:idx val="0"/>
          <c:order val="0"/>
          <c:tx>
            <c:strRef>
              <c:f>'Gráfica Resultante'!$A$6</c:f>
              <c:strCache>
                <c:ptCount val="1"/>
                <c:pt idx="0">
                  <c:v>Sitio 1</c:v>
                </c:pt>
              </c:strCache>
            </c:strRef>
          </c:tx>
          <c:spPr>
            <a:noFill/>
            <a:ln>
              <a:solidFill>
                <a:schemeClr val="accent1"/>
              </a:solidFill>
            </a:ln>
            <a:effectLst>
              <a:glow rad="63500">
                <a:schemeClr val="accent1">
                  <a:alpha val="18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'Gráfica Resultante'!$B$6</c:f>
              <c:numCache>
                <c:formatCode>0.00</c:formatCode>
                <c:ptCount val="1"/>
                <c:pt idx="0">
                  <c:v>1.1805503685503687</c:v>
                </c:pt>
              </c:numCache>
            </c:numRef>
          </c:xVal>
          <c:yVal>
            <c:numRef>
              <c:f>'Gráfica Resultante'!$C$6</c:f>
              <c:numCache>
                <c:formatCode>0.00</c:formatCode>
                <c:ptCount val="1"/>
                <c:pt idx="0">
                  <c:v>1.31</c:v>
                </c:pt>
              </c:numCache>
            </c:numRef>
          </c:yVal>
          <c:bubbleSize>
            <c:numLit>
              <c:formatCode>General</c:formatCode>
              <c:ptCount val="1"/>
              <c:pt idx="0">
                <c:v>1</c:v>
              </c:pt>
            </c:numLit>
          </c:bubbleSize>
          <c:bubble3D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743-4158-8110-679C868BA66F}"/>
            </c:ext>
          </c:extLst>
        </c:ser>
        <c:ser>
          <c:idx val="1"/>
          <c:order val="1"/>
          <c:tx>
            <c:strRef>
              <c:f>'Gráfica Resultante'!$A$15</c:f>
              <c:strCache>
                <c:ptCount val="1"/>
                <c:pt idx="0">
                  <c:v>Sitio 10</c:v>
                </c:pt>
              </c:strCache>
            </c:strRef>
          </c:tx>
          <c:spPr>
            <a:noFill/>
            <a:ln>
              <a:solidFill>
                <a:schemeClr val="accent3"/>
              </a:solidFill>
            </a:ln>
            <a:effectLst>
              <a:glow rad="63500">
                <a:schemeClr val="accent3">
                  <a:alpha val="18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'Gráfica Resultante'!$B$15</c:f>
              <c:numCache>
                <c:formatCode>General</c:formatCode>
                <c:ptCount val="1"/>
              </c:numCache>
            </c:numRef>
          </c:xVal>
          <c:yVal>
            <c:numRef>
              <c:f>'Gráfica Resultante'!$C$15</c:f>
              <c:numCache>
                <c:formatCode>General</c:formatCode>
                <c:ptCount val="1"/>
              </c:numCache>
            </c:numRef>
          </c:yVal>
          <c:bubbleSize>
            <c:numLit>
              <c:formatCode>General</c:formatCode>
              <c:ptCount val="1"/>
              <c:pt idx="0">
                <c:v>1</c:v>
              </c:pt>
            </c:numLit>
          </c:bubbleSize>
          <c:bubble3D val="0"/>
          <c:extLst xmlns:c16r2="http://schemas.microsoft.com/office/drawing/2015/06/chart">
            <c:ext xmlns:c16="http://schemas.microsoft.com/office/drawing/2014/chart" uri="{C3380CC4-5D6E-409C-BE32-E72D297353CC}">
              <c16:uniqueId val="{00000001-2743-4158-8110-679C868BA66F}"/>
            </c:ext>
          </c:extLst>
        </c:ser>
        <c:ser>
          <c:idx val="2"/>
          <c:order val="2"/>
          <c:tx>
            <c:strRef>
              <c:f>'Gráfica Resultante'!$A$7</c:f>
              <c:strCache>
                <c:ptCount val="1"/>
                <c:pt idx="0">
                  <c:v>Sitio 2</c:v>
                </c:pt>
              </c:strCache>
            </c:strRef>
          </c:tx>
          <c:spPr>
            <a:noFill/>
            <a:ln>
              <a:solidFill>
                <a:schemeClr val="accent5"/>
              </a:solidFill>
            </a:ln>
            <a:effectLst>
              <a:glow rad="63500">
                <a:schemeClr val="accent5">
                  <a:alpha val="18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25400" cap="rnd">
                <a:solidFill>
                  <a:schemeClr val="accent5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C"/>
                </a:p>
              </c:txPr>
            </c:trendlineLbl>
          </c:trendline>
          <c:xVal>
            <c:numRef>
              <c:f>'Gráfica Resultante'!$B$7</c:f>
              <c:numCache>
                <c:formatCode>General</c:formatCode>
                <c:ptCount val="1"/>
              </c:numCache>
            </c:numRef>
          </c:xVal>
          <c:yVal>
            <c:numRef>
              <c:f>'Gráfica Resultante'!$C$7</c:f>
              <c:numCache>
                <c:formatCode>General</c:formatCode>
                <c:ptCount val="1"/>
              </c:numCache>
            </c:numRef>
          </c:yVal>
          <c:bubbleSize>
            <c:numLit>
              <c:formatCode>General</c:formatCode>
              <c:ptCount val="1"/>
              <c:pt idx="0">
                <c:v>1</c:v>
              </c:pt>
            </c:numLit>
          </c:bubbleSize>
          <c:bubble3D val="0"/>
          <c:extLst xmlns:c16r2="http://schemas.microsoft.com/office/drawing/2015/06/chart">
            <c:ext xmlns:c16="http://schemas.microsoft.com/office/drawing/2014/chart" uri="{C3380CC4-5D6E-409C-BE32-E72D297353CC}">
              <c16:uniqueId val="{00000003-2743-4158-8110-679C868BA66F}"/>
            </c:ext>
          </c:extLst>
        </c:ser>
        <c:ser>
          <c:idx val="3"/>
          <c:order val="3"/>
          <c:tx>
            <c:strRef>
              <c:f>'Gráfica Resultante'!$A$8</c:f>
              <c:strCache>
                <c:ptCount val="1"/>
                <c:pt idx="0">
                  <c:v>Sitio 3</c:v>
                </c:pt>
              </c:strCache>
            </c:strRef>
          </c:tx>
          <c:spPr>
            <a:noFill/>
            <a:ln>
              <a:solidFill>
                <a:schemeClr val="accent1">
                  <a:lumMod val="60000"/>
                </a:schemeClr>
              </a:solidFill>
            </a:ln>
            <a:effectLst>
              <a:glow rad="63500">
                <a:schemeClr val="accent1">
                  <a:lumMod val="60000"/>
                  <a:alpha val="18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'Gráfica Resultante'!$B$8</c:f>
              <c:numCache>
                <c:formatCode>General</c:formatCode>
                <c:ptCount val="1"/>
              </c:numCache>
            </c:numRef>
          </c:xVal>
          <c:yVal>
            <c:numRef>
              <c:f>'Gráfica Resultante'!$C$8</c:f>
              <c:numCache>
                <c:formatCode>General</c:formatCode>
                <c:ptCount val="1"/>
              </c:numCache>
            </c:numRef>
          </c:yVal>
          <c:bubbleSize>
            <c:numLit>
              <c:formatCode>General</c:formatCode>
              <c:ptCount val="1"/>
              <c:pt idx="0">
                <c:v>1</c:v>
              </c:pt>
            </c:numLit>
          </c:bubbleSize>
          <c:bubble3D val="0"/>
          <c:extLst xmlns:c16r2="http://schemas.microsoft.com/office/drawing/2015/06/chart">
            <c:ext xmlns:c16="http://schemas.microsoft.com/office/drawing/2014/chart" uri="{C3380CC4-5D6E-409C-BE32-E72D297353CC}">
              <c16:uniqueId val="{00000004-2743-4158-8110-679C868BA66F}"/>
            </c:ext>
          </c:extLst>
        </c:ser>
        <c:ser>
          <c:idx val="4"/>
          <c:order val="4"/>
          <c:tx>
            <c:strRef>
              <c:f>'Gráfica Resultante'!$A$9</c:f>
              <c:strCache>
                <c:ptCount val="1"/>
                <c:pt idx="0">
                  <c:v>Sitio 4</c:v>
                </c:pt>
              </c:strCache>
            </c:strRef>
          </c:tx>
          <c:spPr>
            <a:noFill/>
            <a:ln>
              <a:solidFill>
                <a:schemeClr val="accent3">
                  <a:lumMod val="60000"/>
                </a:schemeClr>
              </a:solidFill>
            </a:ln>
            <a:effectLst>
              <a:glow rad="63500">
                <a:schemeClr val="accent3">
                  <a:lumMod val="60000"/>
                  <a:alpha val="18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'Gráfica Resultante'!$B$9</c:f>
              <c:numCache>
                <c:formatCode>General</c:formatCode>
                <c:ptCount val="1"/>
              </c:numCache>
            </c:numRef>
          </c:xVal>
          <c:yVal>
            <c:numRef>
              <c:f>'Gráfica Resultante'!$C$9</c:f>
              <c:numCache>
                <c:formatCode>General</c:formatCode>
                <c:ptCount val="1"/>
              </c:numCache>
            </c:numRef>
          </c:yVal>
          <c:bubbleSize>
            <c:numLit>
              <c:formatCode>General</c:formatCode>
              <c:ptCount val="1"/>
              <c:pt idx="0">
                <c:v>1</c:v>
              </c:pt>
            </c:numLit>
          </c:bubbleSize>
          <c:bubble3D val="0"/>
          <c:extLst xmlns:c16r2="http://schemas.microsoft.com/office/drawing/2015/06/chart">
            <c:ext xmlns:c16="http://schemas.microsoft.com/office/drawing/2014/chart" uri="{C3380CC4-5D6E-409C-BE32-E72D297353CC}">
              <c16:uniqueId val="{00000005-2743-4158-8110-679C868BA66F}"/>
            </c:ext>
          </c:extLst>
        </c:ser>
        <c:ser>
          <c:idx val="5"/>
          <c:order val="5"/>
          <c:tx>
            <c:strRef>
              <c:f>'Gráfica Resultante'!$A$10</c:f>
              <c:strCache>
                <c:ptCount val="1"/>
                <c:pt idx="0">
                  <c:v>Sitio 5</c:v>
                </c:pt>
              </c:strCache>
            </c:strRef>
          </c:tx>
          <c:spPr>
            <a:noFill/>
            <a:ln>
              <a:solidFill>
                <a:schemeClr val="accent5">
                  <a:lumMod val="60000"/>
                </a:schemeClr>
              </a:solidFill>
            </a:ln>
            <a:effectLst>
              <a:glow rad="63500">
                <a:schemeClr val="accent5">
                  <a:lumMod val="60000"/>
                  <a:alpha val="18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'Gráfica Resultante'!$B$10</c:f>
              <c:numCache>
                <c:formatCode>General</c:formatCode>
                <c:ptCount val="1"/>
              </c:numCache>
            </c:numRef>
          </c:xVal>
          <c:yVal>
            <c:numRef>
              <c:f>'Gráfica Resultante'!$C$10</c:f>
              <c:numCache>
                <c:formatCode>General</c:formatCode>
                <c:ptCount val="1"/>
              </c:numCache>
            </c:numRef>
          </c:yVal>
          <c:bubbleSize>
            <c:numLit>
              <c:formatCode>General</c:formatCode>
              <c:ptCount val="1"/>
              <c:pt idx="0">
                <c:v>1</c:v>
              </c:pt>
            </c:numLit>
          </c:bubbleSize>
          <c:bubble3D val="0"/>
          <c:extLst xmlns:c16r2="http://schemas.microsoft.com/office/drawing/2015/06/chart">
            <c:ext xmlns:c16="http://schemas.microsoft.com/office/drawing/2014/chart" uri="{C3380CC4-5D6E-409C-BE32-E72D297353CC}">
              <c16:uniqueId val="{00000006-2743-4158-8110-679C868BA66F}"/>
            </c:ext>
          </c:extLst>
        </c:ser>
        <c:ser>
          <c:idx val="6"/>
          <c:order val="6"/>
          <c:tx>
            <c:strRef>
              <c:f>'Gráfica Resultante'!$A$11</c:f>
              <c:strCache>
                <c:ptCount val="1"/>
                <c:pt idx="0">
                  <c:v>Sitio 6</c:v>
                </c:pt>
              </c:strCache>
            </c:strRef>
          </c:tx>
          <c:spPr>
            <a:noFill/>
            <a:ln>
              <a:solidFill>
                <a:schemeClr val="accent1">
                  <a:lumMod val="80000"/>
                  <a:lumOff val="20000"/>
                </a:schemeClr>
              </a:solidFill>
            </a:ln>
            <a:effectLst>
              <a:glow rad="63500">
                <a:schemeClr val="accent1">
                  <a:lumMod val="80000"/>
                  <a:lumOff val="20000"/>
                  <a:alpha val="18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'Gráfica Resultante'!$B$11</c:f>
              <c:numCache>
                <c:formatCode>General</c:formatCode>
                <c:ptCount val="1"/>
              </c:numCache>
            </c:numRef>
          </c:xVal>
          <c:yVal>
            <c:numRef>
              <c:f>'Gráfica Resultante'!$C$11</c:f>
              <c:numCache>
                <c:formatCode>General</c:formatCode>
                <c:ptCount val="1"/>
              </c:numCache>
            </c:numRef>
          </c:yVal>
          <c:bubbleSize>
            <c:numLit>
              <c:formatCode>General</c:formatCode>
              <c:ptCount val="1"/>
              <c:pt idx="0">
                <c:v>1</c:v>
              </c:pt>
            </c:numLit>
          </c:bubbleSize>
          <c:bubble3D val="0"/>
          <c:extLst xmlns:c16r2="http://schemas.microsoft.com/office/drawing/2015/06/chart">
            <c:ext xmlns:c16="http://schemas.microsoft.com/office/drawing/2014/chart" uri="{C3380CC4-5D6E-409C-BE32-E72D297353CC}">
              <c16:uniqueId val="{00000007-2743-4158-8110-679C868BA66F}"/>
            </c:ext>
          </c:extLst>
        </c:ser>
        <c:ser>
          <c:idx val="7"/>
          <c:order val="7"/>
          <c:tx>
            <c:strRef>
              <c:f>'Gráfica Resultante'!$A$12</c:f>
              <c:strCache>
                <c:ptCount val="1"/>
                <c:pt idx="0">
                  <c:v>Sitio 7</c:v>
                </c:pt>
              </c:strCache>
            </c:strRef>
          </c:tx>
          <c:spPr>
            <a:noFill/>
            <a:ln>
              <a:solidFill>
                <a:schemeClr val="accent3">
                  <a:lumMod val="80000"/>
                  <a:lumOff val="20000"/>
                </a:schemeClr>
              </a:solidFill>
            </a:ln>
            <a:effectLst>
              <a:glow rad="63500">
                <a:schemeClr val="accent3">
                  <a:lumMod val="80000"/>
                  <a:lumOff val="20000"/>
                  <a:alpha val="18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'Gráfica Resultante'!$B$12</c:f>
              <c:numCache>
                <c:formatCode>General</c:formatCode>
                <c:ptCount val="1"/>
              </c:numCache>
            </c:numRef>
          </c:xVal>
          <c:yVal>
            <c:numRef>
              <c:f>'Gráfica Resultante'!$C$12</c:f>
              <c:numCache>
                <c:formatCode>General</c:formatCode>
                <c:ptCount val="1"/>
              </c:numCache>
            </c:numRef>
          </c:yVal>
          <c:bubbleSize>
            <c:numLit>
              <c:formatCode>General</c:formatCode>
              <c:ptCount val="1"/>
              <c:pt idx="0">
                <c:v>1</c:v>
              </c:pt>
            </c:numLit>
          </c:bubbleSize>
          <c:bubble3D val="0"/>
          <c:extLst xmlns:c16r2="http://schemas.microsoft.com/office/drawing/2015/06/chart">
            <c:ext xmlns:c16="http://schemas.microsoft.com/office/drawing/2014/chart" uri="{C3380CC4-5D6E-409C-BE32-E72D297353CC}">
              <c16:uniqueId val="{00000008-2743-4158-8110-679C868BA66F}"/>
            </c:ext>
          </c:extLst>
        </c:ser>
        <c:ser>
          <c:idx val="8"/>
          <c:order val="8"/>
          <c:tx>
            <c:strRef>
              <c:f>'Gráfica Resultante'!$A$13</c:f>
              <c:strCache>
                <c:ptCount val="1"/>
                <c:pt idx="0">
                  <c:v>Sitio 8</c:v>
                </c:pt>
              </c:strCache>
            </c:strRef>
          </c:tx>
          <c:spPr>
            <a:noFill/>
            <a:ln>
              <a:solidFill>
                <a:schemeClr val="accent5">
                  <a:lumMod val="80000"/>
                  <a:lumOff val="20000"/>
                </a:schemeClr>
              </a:solidFill>
            </a:ln>
            <a:effectLst>
              <a:glow rad="63500">
                <a:schemeClr val="accent5">
                  <a:lumMod val="80000"/>
                  <a:lumOff val="20000"/>
                  <a:alpha val="18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'Gráfica Resultante'!$B$13</c:f>
              <c:numCache>
                <c:formatCode>General</c:formatCode>
                <c:ptCount val="1"/>
              </c:numCache>
            </c:numRef>
          </c:xVal>
          <c:yVal>
            <c:numRef>
              <c:f>'Gráfica Resultante'!$C$13</c:f>
              <c:numCache>
                <c:formatCode>General</c:formatCode>
                <c:ptCount val="1"/>
              </c:numCache>
            </c:numRef>
          </c:yVal>
          <c:bubbleSize>
            <c:numLit>
              <c:formatCode>General</c:formatCode>
              <c:ptCount val="1"/>
              <c:pt idx="0">
                <c:v>1</c:v>
              </c:pt>
            </c:numLit>
          </c:bubbleSize>
          <c:bubble3D val="0"/>
          <c:extLst xmlns:c16r2="http://schemas.microsoft.com/office/drawing/2015/06/chart">
            <c:ext xmlns:c16="http://schemas.microsoft.com/office/drawing/2014/chart" uri="{C3380CC4-5D6E-409C-BE32-E72D297353CC}">
              <c16:uniqueId val="{00000009-2743-4158-8110-679C868BA66F}"/>
            </c:ext>
          </c:extLst>
        </c:ser>
        <c:ser>
          <c:idx val="9"/>
          <c:order val="9"/>
          <c:tx>
            <c:strRef>
              <c:f>'Gráfica Resultante'!$A$14</c:f>
              <c:strCache>
                <c:ptCount val="1"/>
                <c:pt idx="0">
                  <c:v>Sitio 9</c:v>
                </c:pt>
              </c:strCache>
            </c:strRef>
          </c:tx>
          <c:spPr>
            <a:noFill/>
            <a:ln>
              <a:solidFill>
                <a:schemeClr val="accent1">
                  <a:lumMod val="80000"/>
                </a:schemeClr>
              </a:solidFill>
            </a:ln>
            <a:effectLst>
              <a:glow rad="63500">
                <a:schemeClr val="accent1">
                  <a:lumMod val="80000"/>
                  <a:alpha val="18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>
                        <a:lumMod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txPr>
            <c:dLblPos val="b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'Gráfica Resultante'!$B$14</c:f>
              <c:numCache>
                <c:formatCode>General</c:formatCode>
                <c:ptCount val="1"/>
              </c:numCache>
            </c:numRef>
          </c:xVal>
          <c:yVal>
            <c:numRef>
              <c:f>'Gráfica Resultante'!$C$14</c:f>
              <c:numCache>
                <c:formatCode>General</c:formatCode>
                <c:ptCount val="1"/>
              </c:numCache>
            </c:numRef>
          </c:yVal>
          <c:bubbleSize>
            <c:numLit>
              <c:formatCode>General</c:formatCode>
              <c:ptCount val="1"/>
              <c:pt idx="0">
                <c:v>1</c:v>
              </c:pt>
            </c:numLit>
          </c:bubbleSize>
          <c:bubble3D val="0"/>
          <c:extLst xmlns:c16r2="http://schemas.microsoft.com/office/drawing/2015/06/chart">
            <c:ext xmlns:c16="http://schemas.microsoft.com/office/drawing/2014/chart" uri="{C3380CC4-5D6E-409C-BE32-E72D297353CC}">
              <c16:uniqueId val="{0000000A-2743-4158-8110-679C868BA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"/>
        <c:showNegBubbles val="1"/>
        <c:axId val="-1110112608"/>
        <c:axId val="-1110116416"/>
      </c:bubbleChart>
      <c:valAx>
        <c:axId val="-1110112608"/>
        <c:scaling>
          <c:orientation val="minMax"/>
          <c:max val="2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 sz="1200" b="1">
                    <a:solidFill>
                      <a:schemeClr val="tx1"/>
                    </a:solidFill>
                  </a:rPr>
                  <a:t>Factores Endógenos</a:t>
                </a:r>
              </a:p>
            </c:rich>
          </c:tx>
          <c:layout>
            <c:manualLayout>
              <c:xMode val="edge"/>
              <c:yMode val="edge"/>
              <c:x val="0.43945620915032679"/>
              <c:y val="0.953004960317460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38100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-1110116416"/>
        <c:crossesAt val="1"/>
        <c:crossBetween val="midCat"/>
        <c:majorUnit val="1"/>
        <c:minorUnit val="0.2"/>
      </c:valAx>
      <c:valAx>
        <c:axId val="-1110116416"/>
        <c:scaling>
          <c:orientation val="minMax"/>
          <c:max val="2.0499999999999998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C" sz="1200" b="1">
                    <a:solidFill>
                      <a:schemeClr val="tx1"/>
                    </a:solidFill>
                  </a:rPr>
                  <a:t>Factores Exógenos</a:t>
                </a:r>
              </a:p>
            </c:rich>
          </c:tx>
          <c:layout>
            <c:manualLayout>
              <c:xMode val="edge"/>
              <c:yMode val="edge"/>
              <c:x val="4.1503267973856207E-2"/>
              <c:y val="0.382501984126984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s-EC"/>
            </a:p>
          </c:txPr>
        </c:title>
        <c:numFmt formatCode="0.00" sourceLinked="1"/>
        <c:majorTickMark val="none"/>
        <c:minorTickMark val="none"/>
        <c:tickLblPos val="low"/>
        <c:spPr>
          <a:noFill/>
          <a:ln w="38100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-1110112608"/>
        <c:crossesAt val="1"/>
        <c:crossBetween val="midCat"/>
        <c:majorUnit val="1"/>
        <c:minorUnit val="0.2"/>
      </c:valAx>
      <c:spPr>
        <a:noFill/>
        <a:ln w="41275">
          <a:solidFill>
            <a:schemeClr val="lt1">
              <a:lumMod val="50000"/>
            </a:schemeClr>
          </a:solidFill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dk1">
          <a:tint val="75000"/>
        </a:schemeClr>
      </a:solidFill>
      <a:round/>
    </a:ln>
    <a:effectLst>
      <a:outerShdw blurRad="50800" dist="50800" dir="5400000" algn="ctr" rotWithShape="0">
        <a:schemeClr val="bg1"/>
      </a:outerShdw>
      <a:softEdge rad="317500"/>
    </a:effectLst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7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tx1"/>
    </cs:fontRef>
    <cs:spPr>
      <a:ln>
        <a:solidFill>
          <a:schemeClr val="phClr"/>
        </a:solidFill>
      </a:ln>
      <a:effectLst>
        <a:glow rad="63500">
          <a:schemeClr val="phClr">
            <a:alpha val="18000"/>
          </a:schemeClr>
        </a:glow>
      </a:effectLst>
    </cs:spPr>
  </cs:dataPoint>
  <cs:dataPoint3D>
    <cs:lnRef idx="0">
      <cs:styleClr val="auto"/>
    </cs:lnRef>
    <cs:fillRef idx="0"/>
    <cs:effectRef idx="0">
      <cs:styleClr val="auto"/>
    </cs:effectRef>
    <cs:fontRef idx="minor">
      <a:schemeClr val="tx1"/>
    </cs:fontRef>
    <cs:spPr>
      <a:ln>
        <a:solidFill>
          <a:schemeClr val="phClr"/>
        </a:solidFill>
      </a:ln>
      <a:effectLst>
        <a:glow rad="63500">
          <a:schemeClr val="phClr">
            <a:alpha val="18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4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dk1">
          <a:lumMod val="85000"/>
          <a:lumOff val="15000"/>
        </a:schemeClr>
      </a:solidFill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gradFill>
          <a:gsLst>
            <a:gs pos="100000">
              <a:schemeClr val="dk1">
                <a:lumMod val="65000"/>
                <a:lumOff val="35000"/>
                <a:alpha val="24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  <a:alpha val="46000"/>
              </a:schemeClr>
            </a:gs>
            <a:gs pos="100000">
              <a:schemeClr val="dk1">
                <a:lumMod val="75000"/>
                <a:lumOff val="25000"/>
                <a:alpha val="42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tx1"/>
    </cs:fontRef>
    <cs:spPr>
      <a:solidFill>
        <a:schemeClr val="tx1">
          <a:lumMod val="85000"/>
          <a:lumOff val="15000"/>
        </a:schemeClr>
      </a:solid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35719</xdr:colOff>
      <xdr:row>20</xdr:row>
      <xdr:rowOff>104776</xdr:rowOff>
    </xdr:from>
    <xdr:ext cx="4735544" cy="26577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="" xmlns:a16="http://schemas.microsoft.com/office/drawing/2014/main" id="{0FCE1B5B-29A1-4955-BE1D-41B29E430B6F}"/>
                </a:ext>
              </a:extLst>
            </xdr:cNvPr>
            <xdr:cNvSpPr txBox="1"/>
          </xdr:nvSpPr>
          <xdr:spPr>
            <a:xfrm>
              <a:off x="5786438" y="4010026"/>
              <a:ext cx="4735544" cy="2657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s-EC" sz="1500" b="1" i="1">
                      <a:latin typeface="Cambria Math" panose="02040503050406030204" pitchFamily="18" charset="0"/>
                    </a:rPr>
                    <m:t>𝑭𝑵</m:t>
                  </m:r>
                  <m:r>
                    <a:rPr lang="en-US" sz="150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500"/>
                <a:t> </a:t>
              </a:r>
              <a:r>
                <a:rPr lang="en-US" sz="1500">
                  <a:latin typeface="Gigi" panose="04040504061007020D02" pitchFamily="82" charset="0"/>
                </a:rPr>
                <a:t>f </a:t>
              </a:r>
              <a:r>
                <a:rPr lang="en-US" sz="1500"/>
                <a:t>(</a:t>
              </a:r>
              <a:r>
                <a:rPr lang="en-US" sz="1100">
                  <a:latin typeface="Amasis MT Pro" panose="020B0604020202020204" pitchFamily="18" charset="0"/>
                </a:rPr>
                <a:t>RT</a:t>
              </a:r>
              <a:r>
                <a:rPr lang="en-US" sz="1500"/>
                <a:t>) * 40%</a:t>
              </a:r>
              <a:r>
                <a:rPr lang="en-US" sz="1500" baseline="0"/>
                <a:t>  + </a:t>
              </a:r>
              <a:r>
                <a:rPr lang="en-US" sz="1500">
                  <a:solidFill>
                    <a:schemeClr val="tx1"/>
                  </a:solidFill>
                  <a:latin typeface="Gigi" panose="04040504061007020D02" pitchFamily="82" charset="0"/>
                  <a:ea typeface="+mn-ea"/>
                  <a:cs typeface="+mn-cs"/>
                </a:rPr>
                <a:t>f </a:t>
              </a:r>
              <a:r>
                <a:rPr lang="en-US" sz="1500" baseline="0"/>
                <a:t>(</a:t>
              </a:r>
              <a:r>
                <a:rPr lang="en-US" sz="1100">
                  <a:solidFill>
                    <a:schemeClr val="tx1"/>
                  </a:solidFill>
                  <a:latin typeface="Amasis MT Pro" panose="020B0604020202020204" pitchFamily="18" charset="0"/>
                  <a:ea typeface="+mn-ea"/>
                  <a:cs typeface="+mn-cs"/>
                </a:rPr>
                <a:t>ET</a:t>
              </a:r>
              <a:r>
                <a:rPr lang="en-US" sz="1500" baseline="0"/>
                <a:t>) * 20% +</a:t>
              </a:r>
              <a:r>
                <a:rPr lang="en-US" sz="1500">
                  <a:solidFill>
                    <a:schemeClr val="tx1"/>
                  </a:solidFill>
                  <a:latin typeface="Gigi" panose="04040504061007020D02" pitchFamily="82" charset="0"/>
                  <a:ea typeface="+mn-ea"/>
                  <a:cs typeface="+mn-cs"/>
                </a:rPr>
                <a:t> f </a:t>
              </a:r>
              <a:r>
                <a:rPr lang="en-US" sz="1500" baseline="0"/>
                <a:t>(</a:t>
              </a:r>
              <a:r>
                <a:rPr lang="en-US" sz="1100">
                  <a:solidFill>
                    <a:schemeClr val="tx1"/>
                  </a:solidFill>
                  <a:latin typeface="Amasis MT Pro" panose="020B0604020202020204" pitchFamily="18" charset="0"/>
                  <a:ea typeface="+mn-ea"/>
                  <a:cs typeface="+mn-cs"/>
                </a:rPr>
                <a:t>TT</a:t>
              </a:r>
              <a:r>
                <a:rPr lang="en-US" sz="1500" baseline="0"/>
                <a:t>) * 20% + </a:t>
              </a:r>
              <a:r>
                <a:rPr lang="en-US" sz="1500">
                  <a:solidFill>
                    <a:schemeClr val="tx1"/>
                  </a:solidFill>
                  <a:latin typeface="Gigi" panose="04040504061007020D02" pitchFamily="82" charset="0"/>
                  <a:ea typeface="+mn-ea"/>
                  <a:cs typeface="+mn-cs"/>
                </a:rPr>
                <a:t>f</a:t>
              </a:r>
              <a:r>
                <a:rPr lang="en-US" sz="1500" baseline="0"/>
                <a:t> (</a:t>
              </a:r>
              <a:r>
                <a:rPr lang="en-US" sz="1100">
                  <a:solidFill>
                    <a:schemeClr val="tx1"/>
                  </a:solidFill>
                  <a:latin typeface="Amasis MT Pro" panose="020B0604020202020204" pitchFamily="18" charset="0"/>
                  <a:ea typeface="+mn-ea"/>
                  <a:cs typeface="+mn-cs"/>
                </a:rPr>
                <a:t>I</a:t>
              </a:r>
              <a:r>
                <a:rPr lang="en-US" sz="1500" baseline="0"/>
                <a:t>) * 20%</a:t>
              </a:r>
              <a:endParaRPr lang="en-US" sz="15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0FCE1B5B-29A1-4955-BE1D-41B29E430B6F}"/>
                </a:ext>
              </a:extLst>
            </xdr:cNvPr>
            <xdr:cNvSpPr txBox="1"/>
          </xdr:nvSpPr>
          <xdr:spPr>
            <a:xfrm>
              <a:off x="5786438" y="4010026"/>
              <a:ext cx="4735544" cy="26577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EC" sz="1500" b="1" i="0">
                  <a:latin typeface="Cambria Math" panose="02040503050406030204" pitchFamily="18" charset="0"/>
                </a:rPr>
                <a:t>𝑭𝑵</a:t>
              </a:r>
              <a:r>
                <a:rPr lang="en-US" sz="1500" i="0">
                  <a:latin typeface="Cambria Math" panose="02040503050406030204" pitchFamily="18" charset="0"/>
                </a:rPr>
                <a:t>=</a:t>
              </a:r>
              <a:r>
                <a:rPr lang="en-US" sz="1500"/>
                <a:t> </a:t>
              </a:r>
              <a:r>
                <a:rPr lang="en-US" sz="1500">
                  <a:latin typeface="Gigi" panose="04040504061007020D02" pitchFamily="82" charset="0"/>
                </a:rPr>
                <a:t>f </a:t>
              </a:r>
              <a:r>
                <a:rPr lang="en-US" sz="1500"/>
                <a:t>(</a:t>
              </a:r>
              <a:r>
                <a:rPr lang="en-US" sz="1100">
                  <a:latin typeface="Amasis MT Pro" panose="020B0604020202020204" pitchFamily="18" charset="0"/>
                </a:rPr>
                <a:t>RT</a:t>
              </a:r>
              <a:r>
                <a:rPr lang="en-US" sz="1500"/>
                <a:t>) * 40%</a:t>
              </a:r>
              <a:r>
                <a:rPr lang="en-US" sz="1500" baseline="0"/>
                <a:t>  + </a:t>
              </a:r>
              <a:r>
                <a:rPr lang="en-US" sz="1500">
                  <a:solidFill>
                    <a:schemeClr val="tx1"/>
                  </a:solidFill>
                  <a:latin typeface="Gigi" panose="04040504061007020D02" pitchFamily="82" charset="0"/>
                  <a:ea typeface="+mn-ea"/>
                  <a:cs typeface="+mn-cs"/>
                </a:rPr>
                <a:t>f </a:t>
              </a:r>
              <a:r>
                <a:rPr lang="en-US" sz="1500" baseline="0"/>
                <a:t>(</a:t>
              </a:r>
              <a:r>
                <a:rPr lang="en-US" sz="1100">
                  <a:solidFill>
                    <a:schemeClr val="tx1"/>
                  </a:solidFill>
                  <a:latin typeface="Amasis MT Pro" panose="020B0604020202020204" pitchFamily="18" charset="0"/>
                  <a:ea typeface="+mn-ea"/>
                  <a:cs typeface="+mn-cs"/>
                </a:rPr>
                <a:t>ET</a:t>
              </a:r>
              <a:r>
                <a:rPr lang="en-US" sz="1500" baseline="0"/>
                <a:t>) * 20% +</a:t>
              </a:r>
              <a:r>
                <a:rPr lang="en-US" sz="1500">
                  <a:solidFill>
                    <a:schemeClr val="tx1"/>
                  </a:solidFill>
                  <a:latin typeface="Gigi" panose="04040504061007020D02" pitchFamily="82" charset="0"/>
                  <a:ea typeface="+mn-ea"/>
                  <a:cs typeface="+mn-cs"/>
                </a:rPr>
                <a:t> f </a:t>
              </a:r>
              <a:r>
                <a:rPr lang="en-US" sz="1500" baseline="0"/>
                <a:t>(</a:t>
              </a:r>
              <a:r>
                <a:rPr lang="en-US" sz="1100">
                  <a:solidFill>
                    <a:schemeClr val="tx1"/>
                  </a:solidFill>
                  <a:latin typeface="Amasis MT Pro" panose="020B0604020202020204" pitchFamily="18" charset="0"/>
                  <a:ea typeface="+mn-ea"/>
                  <a:cs typeface="+mn-cs"/>
                </a:rPr>
                <a:t>TT</a:t>
              </a:r>
              <a:r>
                <a:rPr lang="en-US" sz="1500" baseline="0"/>
                <a:t>) * 20% + </a:t>
              </a:r>
              <a:r>
                <a:rPr lang="en-US" sz="1500">
                  <a:solidFill>
                    <a:schemeClr val="tx1"/>
                  </a:solidFill>
                  <a:latin typeface="Gigi" panose="04040504061007020D02" pitchFamily="82" charset="0"/>
                  <a:ea typeface="+mn-ea"/>
                  <a:cs typeface="+mn-cs"/>
                </a:rPr>
                <a:t>f</a:t>
              </a:r>
              <a:r>
                <a:rPr lang="en-US" sz="1500" baseline="0"/>
                <a:t> (</a:t>
              </a:r>
              <a:r>
                <a:rPr lang="en-US" sz="1100">
                  <a:solidFill>
                    <a:schemeClr val="tx1"/>
                  </a:solidFill>
                  <a:latin typeface="Amasis MT Pro" panose="020B0604020202020204" pitchFamily="18" charset="0"/>
                  <a:ea typeface="+mn-ea"/>
                  <a:cs typeface="+mn-cs"/>
                </a:rPr>
                <a:t>I</a:t>
              </a:r>
              <a:r>
                <a:rPr lang="en-US" sz="1500" baseline="0"/>
                <a:t>) * 20%</a:t>
              </a:r>
              <a:endParaRPr lang="en-US" sz="1500"/>
            </a:p>
          </xdr:txBody>
        </xdr:sp>
      </mc:Fallback>
    </mc:AlternateContent>
    <xdr:clientData/>
  </xdr:oneCellAnchor>
  <xdr:twoCellAnchor>
    <xdr:from>
      <xdr:col>9</xdr:col>
      <xdr:colOff>178593</xdr:colOff>
      <xdr:row>3</xdr:row>
      <xdr:rowOff>71437</xdr:rowOff>
    </xdr:from>
    <xdr:to>
      <xdr:col>15</xdr:col>
      <xdr:colOff>631030</xdr:colOff>
      <xdr:row>24</xdr:row>
      <xdr:rowOff>47626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3F8C1DAA-985C-4C77-BBDA-708BE68A40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2307431</xdr:colOff>
      <xdr:row>20</xdr:row>
      <xdr:rowOff>28574</xdr:rowOff>
    </xdr:from>
    <xdr:ext cx="4010026" cy="28353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="" xmlns:a16="http://schemas.microsoft.com/office/drawing/2014/main" id="{4D83D61E-19D9-4D60-9EE7-064A514C8084}"/>
                </a:ext>
              </a:extLst>
            </xdr:cNvPr>
            <xdr:cNvSpPr txBox="1"/>
          </xdr:nvSpPr>
          <xdr:spPr>
            <a:xfrm>
              <a:off x="2700337" y="3671887"/>
              <a:ext cx="4010026" cy="2835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EC" sz="1600" b="1" i="1">
                  <a:latin typeface="+mn-lt"/>
                </a:rPr>
                <a:t>FX</a:t>
              </a:r>
              <a14:m>
                <m:oMath xmlns:m="http://schemas.openxmlformats.org/officeDocument/2006/math">
                  <m:r>
                    <a:rPr lang="en-US" sz="1600" i="1">
                      <a:latin typeface="Cambria Math" panose="02040503050406030204" pitchFamily="18" charset="0"/>
                    </a:rPr>
                    <m:t>=</m:t>
                  </m:r>
                </m:oMath>
              </a14:m>
              <a:r>
                <a:rPr lang="en-US" sz="1600"/>
                <a:t> </a:t>
              </a:r>
              <a:r>
                <a:rPr lang="en-US" sz="1600">
                  <a:latin typeface="Gigi" panose="04040504061007020D02" pitchFamily="82" charset="0"/>
                </a:rPr>
                <a:t>f </a:t>
              </a:r>
              <a:r>
                <a:rPr lang="en-US" sz="1600"/>
                <a:t>(</a:t>
              </a:r>
              <a:r>
                <a:rPr lang="en-US" sz="1200">
                  <a:latin typeface="Amasis MT Pro" panose="020B0604020202020204" pitchFamily="18" charset="0"/>
                </a:rPr>
                <a:t>AT</a:t>
              </a:r>
              <a:r>
                <a:rPr lang="en-US" sz="1600"/>
                <a:t>) * 40%</a:t>
              </a:r>
              <a:r>
                <a:rPr lang="en-US" sz="1600" baseline="0"/>
                <a:t>  + </a:t>
              </a:r>
              <a:r>
                <a:rPr lang="en-US" sz="1600">
                  <a:solidFill>
                    <a:schemeClr val="tx1"/>
                  </a:solidFill>
                  <a:latin typeface="Gigi" panose="04040504061007020D02" pitchFamily="82" charset="0"/>
                  <a:ea typeface="+mn-ea"/>
                  <a:cs typeface="+mn-cs"/>
                </a:rPr>
                <a:t>f </a:t>
              </a:r>
              <a:r>
                <a:rPr lang="en-US" sz="1600" baseline="0"/>
                <a:t>(</a:t>
              </a:r>
              <a:r>
                <a:rPr lang="en-US" sz="1200" baseline="0">
                  <a:solidFill>
                    <a:schemeClr val="tx1"/>
                  </a:solidFill>
                  <a:latin typeface="Amasis MT Pro" panose="020B0604020202020204" pitchFamily="18" charset="0"/>
                  <a:ea typeface="+mn-ea"/>
                  <a:cs typeface="+mn-cs"/>
                </a:rPr>
                <a:t>MK</a:t>
              </a:r>
              <a:r>
                <a:rPr lang="en-US" sz="1600" baseline="0"/>
                <a:t>) * 30% +  </a:t>
              </a:r>
              <a:r>
                <a:rPr lang="en-US" sz="1600">
                  <a:solidFill>
                    <a:schemeClr val="tx1"/>
                  </a:solidFill>
                  <a:latin typeface="Gigi" panose="04040504061007020D02" pitchFamily="82" charset="0"/>
                  <a:ea typeface="+mn-ea"/>
                  <a:cs typeface="+mn-cs"/>
                </a:rPr>
                <a:t>f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6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(</a:t>
              </a:r>
              <a:r>
                <a:rPr lang="en-US" sz="1200" baseline="0">
                  <a:solidFill>
                    <a:schemeClr val="tx1"/>
                  </a:solidFill>
                  <a:effectLst/>
                  <a:latin typeface="Amasis MT Pro" panose="020B0604020202020204" pitchFamily="18" charset="0"/>
                  <a:ea typeface="+mn-ea"/>
                  <a:cs typeface="+mn-cs"/>
                </a:rPr>
                <a:t>S</a:t>
              </a:r>
              <a:r>
                <a:rPr lang="en-US" sz="1200" baseline="0">
                  <a:solidFill>
                    <a:schemeClr val="tx1"/>
                  </a:solidFill>
                  <a:latin typeface="Amasis MT Pro" panose="020B0604020202020204" pitchFamily="18" charset="0"/>
                  <a:ea typeface="+mn-ea"/>
                  <a:cs typeface="+mn-cs"/>
                </a:rPr>
                <a:t>T</a:t>
              </a:r>
              <a:r>
                <a:rPr lang="en-US" sz="16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)</a:t>
              </a:r>
              <a:r>
                <a:rPr lang="en-US" sz="110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6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* 30%</a:t>
              </a:r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4D83D61E-19D9-4D60-9EE7-064A514C8084}"/>
                </a:ext>
              </a:extLst>
            </xdr:cNvPr>
            <xdr:cNvSpPr txBox="1"/>
          </xdr:nvSpPr>
          <xdr:spPr>
            <a:xfrm>
              <a:off x="2700337" y="3671887"/>
              <a:ext cx="4010026" cy="2835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EC" sz="1600" b="1" i="1">
                  <a:latin typeface="+mn-lt"/>
                </a:rPr>
                <a:t>FX</a:t>
              </a:r>
              <a:r>
                <a:rPr lang="en-US" sz="1600" i="0">
                  <a:latin typeface="Cambria Math" panose="02040503050406030204" pitchFamily="18" charset="0"/>
                </a:rPr>
                <a:t>=</a:t>
              </a:r>
              <a:r>
                <a:rPr lang="en-US" sz="1600"/>
                <a:t> </a:t>
              </a:r>
              <a:r>
                <a:rPr lang="en-US" sz="1600">
                  <a:latin typeface="Gigi" panose="04040504061007020D02" pitchFamily="82" charset="0"/>
                </a:rPr>
                <a:t>f </a:t>
              </a:r>
              <a:r>
                <a:rPr lang="en-US" sz="1600"/>
                <a:t>(</a:t>
              </a:r>
              <a:r>
                <a:rPr lang="en-US" sz="1200">
                  <a:latin typeface="Amasis MT Pro" panose="020B0604020202020204" pitchFamily="18" charset="0"/>
                </a:rPr>
                <a:t>AT</a:t>
              </a:r>
              <a:r>
                <a:rPr lang="en-US" sz="1600"/>
                <a:t>) * 40%</a:t>
              </a:r>
              <a:r>
                <a:rPr lang="en-US" sz="1600" baseline="0"/>
                <a:t>  + </a:t>
              </a:r>
              <a:r>
                <a:rPr lang="en-US" sz="1600">
                  <a:solidFill>
                    <a:schemeClr val="tx1"/>
                  </a:solidFill>
                  <a:latin typeface="Gigi" panose="04040504061007020D02" pitchFamily="82" charset="0"/>
                  <a:ea typeface="+mn-ea"/>
                  <a:cs typeface="+mn-cs"/>
                </a:rPr>
                <a:t>f </a:t>
              </a:r>
              <a:r>
                <a:rPr lang="en-US" sz="1600" baseline="0"/>
                <a:t>(</a:t>
              </a:r>
              <a:r>
                <a:rPr lang="en-US" sz="1200" baseline="0">
                  <a:solidFill>
                    <a:schemeClr val="tx1"/>
                  </a:solidFill>
                  <a:latin typeface="Amasis MT Pro" panose="020B0604020202020204" pitchFamily="18" charset="0"/>
                  <a:ea typeface="+mn-ea"/>
                  <a:cs typeface="+mn-cs"/>
                </a:rPr>
                <a:t>MK</a:t>
              </a:r>
              <a:r>
                <a:rPr lang="en-US" sz="1600" baseline="0"/>
                <a:t>) * 30% +  </a:t>
              </a:r>
              <a:r>
                <a:rPr lang="en-US" sz="1600">
                  <a:solidFill>
                    <a:schemeClr val="tx1"/>
                  </a:solidFill>
                  <a:latin typeface="Gigi" panose="04040504061007020D02" pitchFamily="82" charset="0"/>
                  <a:ea typeface="+mn-ea"/>
                  <a:cs typeface="+mn-cs"/>
                </a:rPr>
                <a:t>f</a:t>
              </a:r>
              <a:r>
                <a:rPr lang="en-US" sz="110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6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(</a:t>
              </a:r>
              <a:r>
                <a:rPr lang="en-US" sz="1200" baseline="0">
                  <a:solidFill>
                    <a:schemeClr val="tx1"/>
                  </a:solidFill>
                  <a:effectLst/>
                  <a:latin typeface="Amasis MT Pro" panose="020B0604020202020204" pitchFamily="18" charset="0"/>
                  <a:ea typeface="+mn-ea"/>
                  <a:cs typeface="+mn-cs"/>
                </a:rPr>
                <a:t>S</a:t>
              </a:r>
              <a:r>
                <a:rPr lang="en-US" sz="1200" baseline="0">
                  <a:solidFill>
                    <a:schemeClr val="tx1"/>
                  </a:solidFill>
                  <a:latin typeface="Amasis MT Pro" panose="020B0604020202020204" pitchFamily="18" charset="0"/>
                  <a:ea typeface="+mn-ea"/>
                  <a:cs typeface="+mn-cs"/>
                </a:rPr>
                <a:t>T</a:t>
              </a:r>
              <a:r>
                <a:rPr lang="en-US" sz="16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)</a:t>
              </a:r>
              <a:r>
                <a:rPr lang="en-US" sz="110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6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rPr>
                <a:t>* 30%</a:t>
              </a:r>
            </a:p>
          </xdr:txBody>
        </xdr:sp>
      </mc:Fallback>
    </mc:AlternateContent>
    <xdr:clientData/>
  </xdr:oneCellAnchor>
  <xdr:twoCellAnchor>
    <xdr:from>
      <xdr:col>9</xdr:col>
      <xdr:colOff>166688</xdr:colOff>
      <xdr:row>3</xdr:row>
      <xdr:rowOff>71437</xdr:rowOff>
    </xdr:from>
    <xdr:to>
      <xdr:col>13</xdr:col>
      <xdr:colOff>1178719</xdr:colOff>
      <xdr:row>25</xdr:row>
      <xdr:rowOff>166686</xdr:rowOff>
    </xdr:to>
    <xdr:graphicFrame macro="">
      <xdr:nvGraphicFramePr>
        <xdr:cNvPr id="4" name="Chart 3">
          <a:extLst>
            <a:ext uri="{FF2B5EF4-FFF2-40B4-BE49-F238E27FC236}">
              <a16:creationId xmlns="" xmlns:a16="http://schemas.microsoft.com/office/drawing/2014/main" id="{DE1C4BAC-9D0B-4A99-B57F-0B46920F75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100010</xdr:colOff>
      <xdr:row>18</xdr:row>
      <xdr:rowOff>71437</xdr:rowOff>
    </xdr:from>
    <xdr:to>
      <xdr:col>8</xdr:col>
      <xdr:colOff>124010</xdr:colOff>
      <xdr:row>44</xdr:row>
      <xdr:rowOff>158437</xdr:rowOff>
    </xdr:to>
    <xdr:graphicFrame macro="">
      <xdr:nvGraphicFramePr>
        <xdr:cNvPr id="2" name="Gráfico 6">
          <a:extLst>
            <a:ext uri="{FF2B5EF4-FFF2-40B4-BE49-F238E27FC236}">
              <a16:creationId xmlns="" xmlns:a16="http://schemas.microsoft.com/office/drawing/2014/main" id="{901A3996-4C99-4439-88DD-8255EAF51C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285750</xdr:colOff>
      <xdr:row>16</xdr:row>
      <xdr:rowOff>76200</xdr:rowOff>
    </xdr:from>
    <xdr:to>
      <xdr:col>4</xdr:col>
      <xdr:colOff>190500</xdr:colOff>
      <xdr:row>18</xdr:row>
      <xdr:rowOff>152400</xdr:rowOff>
    </xdr:to>
    <xdr:sp macro="" textlink="">
      <xdr:nvSpPr>
        <xdr:cNvPr id="3" name="CuadroTexto 7">
          <a:extLst>
            <a:ext uri="{FF2B5EF4-FFF2-40B4-BE49-F238E27FC236}">
              <a16:creationId xmlns="" xmlns:a16="http://schemas.microsoft.com/office/drawing/2014/main" id="{4A006A54-67D4-4D82-9E31-BDAFB786DE7E}"/>
            </a:ext>
          </a:extLst>
        </xdr:cNvPr>
        <xdr:cNvSpPr txBox="1"/>
      </xdr:nvSpPr>
      <xdr:spPr>
        <a:xfrm>
          <a:off x="1047750" y="2933700"/>
          <a:ext cx="2190750" cy="457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100" b="1"/>
            <a:t>Mediana Potencialidad Turística</a:t>
          </a:r>
          <a:r>
            <a:rPr lang="es-EC" sz="1100" b="1" baseline="0"/>
            <a:t> II</a:t>
          </a:r>
        </a:p>
        <a:p>
          <a:pPr algn="ctr"/>
          <a:r>
            <a:rPr lang="es-EC" sz="1100" b="1" baseline="0"/>
            <a:t>(FX </a:t>
          </a:r>
          <a:r>
            <a:rPr lang="es-EC" sz="1100" b="1" baseline="0">
              <a:latin typeface="Calibri" panose="020F0502020204030204" pitchFamily="34" charset="0"/>
              <a:cs typeface="Calibri" panose="020F0502020204030204" pitchFamily="34" charset="0"/>
            </a:rPr>
            <a:t>˃ 1; FN ˂ 1)</a:t>
          </a:r>
          <a:endParaRPr lang="es-EC" sz="1100" b="1"/>
        </a:p>
      </xdr:txBody>
    </xdr:sp>
    <xdr:clientData/>
  </xdr:twoCellAnchor>
  <xdr:twoCellAnchor>
    <xdr:from>
      <xdr:col>4</xdr:col>
      <xdr:colOff>714374</xdr:colOff>
      <xdr:row>16</xdr:row>
      <xdr:rowOff>76200</xdr:rowOff>
    </xdr:from>
    <xdr:to>
      <xdr:col>7</xdr:col>
      <xdr:colOff>571499</xdr:colOff>
      <xdr:row>18</xdr:row>
      <xdr:rowOff>152399</xdr:rowOff>
    </xdr:to>
    <xdr:sp macro="" textlink="">
      <xdr:nvSpPr>
        <xdr:cNvPr id="4" name="CuadroTexto 8">
          <a:extLst>
            <a:ext uri="{FF2B5EF4-FFF2-40B4-BE49-F238E27FC236}">
              <a16:creationId xmlns="" xmlns:a16="http://schemas.microsoft.com/office/drawing/2014/main" id="{B94B7E19-24FA-4C49-A4E6-F372E6F05D3B}"/>
            </a:ext>
          </a:extLst>
        </xdr:cNvPr>
        <xdr:cNvSpPr txBox="1"/>
      </xdr:nvSpPr>
      <xdr:spPr>
        <a:xfrm>
          <a:off x="3762374" y="2933700"/>
          <a:ext cx="2143125" cy="4571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100" b="1"/>
            <a:t>Sitio con Actividad Turística </a:t>
          </a:r>
          <a:r>
            <a:rPr lang="es-EC" sz="1100" b="1" baseline="0"/>
            <a:t>IV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(FX ˃ 1; FN ˃ 1)</a:t>
          </a:r>
          <a:endParaRPr lang="es-EC">
            <a:effectLst/>
          </a:endParaRPr>
        </a:p>
      </xdr:txBody>
    </xdr:sp>
    <xdr:clientData/>
  </xdr:twoCellAnchor>
  <xdr:twoCellAnchor>
    <xdr:from>
      <xdr:col>1</xdr:col>
      <xdr:colOff>209550</xdr:colOff>
      <xdr:row>41</xdr:row>
      <xdr:rowOff>180975</xdr:rowOff>
    </xdr:from>
    <xdr:to>
      <xdr:col>4</xdr:col>
      <xdr:colOff>66675</xdr:colOff>
      <xdr:row>43</xdr:row>
      <xdr:rowOff>134938</xdr:rowOff>
    </xdr:to>
    <xdr:sp macro="" textlink="">
      <xdr:nvSpPr>
        <xdr:cNvPr id="5" name="CuadroTexto 8">
          <a:extLst>
            <a:ext uri="{FF2B5EF4-FFF2-40B4-BE49-F238E27FC236}">
              <a16:creationId xmlns="" xmlns:a16="http://schemas.microsoft.com/office/drawing/2014/main" id="{231DFFD7-7139-4394-A7C8-31C051651302}"/>
            </a:ext>
          </a:extLst>
        </xdr:cNvPr>
        <xdr:cNvSpPr txBox="1"/>
      </xdr:nvSpPr>
      <xdr:spPr>
        <a:xfrm>
          <a:off x="971550" y="7800975"/>
          <a:ext cx="2143125" cy="33496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EC" sz="1100" b="1"/>
            <a:t>Carencia Potencialidad Turística</a:t>
          </a:r>
          <a:r>
            <a:rPr lang="es-EC" sz="1100" b="1" baseline="0"/>
            <a:t> I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C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(FX ˂ 1; FN ˂ 1)</a:t>
          </a:r>
          <a:endParaRPr lang="es-EC">
            <a:effectLst/>
          </a:endParaRPr>
        </a:p>
      </xdr:txBody>
    </xdr:sp>
    <xdr:clientData/>
  </xdr:twoCellAnchor>
  <xdr:twoCellAnchor>
    <xdr:from>
      <xdr:col>4</xdr:col>
      <xdr:colOff>609600</xdr:colOff>
      <xdr:row>41</xdr:row>
      <xdr:rowOff>171450</xdr:rowOff>
    </xdr:from>
    <xdr:to>
      <xdr:col>7</xdr:col>
      <xdr:colOff>561975</xdr:colOff>
      <xdr:row>43</xdr:row>
      <xdr:rowOff>114300</xdr:rowOff>
    </xdr:to>
    <xdr:sp macro="" textlink="">
      <xdr:nvSpPr>
        <xdr:cNvPr id="6" name="CuadroTexto 8">
          <a:extLst>
            <a:ext uri="{FF2B5EF4-FFF2-40B4-BE49-F238E27FC236}">
              <a16:creationId xmlns="" xmlns:a16="http://schemas.microsoft.com/office/drawing/2014/main" id="{5BE97B31-0BB6-4D29-962B-7195A136E9AA}"/>
            </a:ext>
          </a:extLst>
        </xdr:cNvPr>
        <xdr:cNvSpPr txBox="1"/>
      </xdr:nvSpPr>
      <xdr:spPr>
        <a:xfrm>
          <a:off x="3657600" y="7791450"/>
          <a:ext cx="223837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EC" sz="1100" b="1"/>
            <a:t>Mediana PotencialidadTurística</a:t>
          </a:r>
          <a:r>
            <a:rPr lang="es-EC" sz="1100" b="1" baseline="0"/>
            <a:t> III</a:t>
          </a:r>
        </a:p>
        <a:p>
          <a:pPr algn="ctr"/>
          <a:r>
            <a:rPr lang="es-EC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(FX ˂ 1; FN </a:t>
          </a:r>
          <a:r>
            <a:rPr lang="es-EC" sz="1100" b="1" baseline="0">
              <a:solidFill>
                <a:schemeClr val="dk1"/>
              </a:solidFill>
              <a:effectLst/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˃ </a:t>
          </a:r>
          <a:r>
            <a:rPr lang="es-EC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</a:t>
          </a:r>
          <a:endParaRPr lang="es-EC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9"/>
  <sheetViews>
    <sheetView workbookViewId="0">
      <selection activeCell="P11" sqref="P11"/>
    </sheetView>
  </sheetViews>
  <sheetFormatPr baseColWidth="10" defaultColWidth="9.140625" defaultRowHeight="15"/>
  <cols>
    <col min="1" max="1" width="20.140625" style="1" customWidth="1"/>
    <col min="2" max="2" width="1" style="1" customWidth="1"/>
    <col min="3" max="3" width="3.7109375" style="1" customWidth="1"/>
    <col min="4" max="4" width="30.7109375" style="1" customWidth="1"/>
    <col min="5" max="5" width="3.7109375" style="1" customWidth="1"/>
    <col min="6" max="6" width="1" style="1" customWidth="1"/>
    <col min="7" max="7" width="3.7109375" style="1" customWidth="1"/>
    <col min="8" max="8" width="30.7109375" style="1" customWidth="1"/>
    <col min="9" max="9" width="3.7109375" style="1" customWidth="1"/>
    <col min="10" max="10" width="1" style="1" customWidth="1"/>
    <col min="11" max="11" width="3.7109375" style="1" customWidth="1"/>
    <col min="12" max="12" width="30.7109375" style="1" customWidth="1"/>
    <col min="13" max="13" width="3.7109375" style="1" customWidth="1"/>
    <col min="14" max="16384" width="9.140625" style="1"/>
  </cols>
  <sheetData>
    <row r="2" spans="1:13">
      <c r="A2" s="119" t="s">
        <v>644</v>
      </c>
      <c r="B2" s="119"/>
      <c r="C2" s="119"/>
      <c r="D2" s="119"/>
      <c r="E2" s="119"/>
      <c r="F2" s="119"/>
      <c r="G2" s="119"/>
      <c r="H2" s="1" t="s">
        <v>704</v>
      </c>
      <c r="I2" s="120" t="s">
        <v>645</v>
      </c>
      <c r="J2" s="120"/>
      <c r="K2" s="120"/>
      <c r="L2" s="120"/>
    </row>
    <row r="3" spans="1:13" ht="15.75" thickBot="1"/>
    <row r="4" spans="1:13" ht="18.75">
      <c r="A4" s="108" t="s">
        <v>0</v>
      </c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10"/>
    </row>
    <row r="5" spans="1:13" ht="18.75">
      <c r="A5" s="111" t="s">
        <v>1</v>
      </c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3"/>
    </row>
    <row r="6" spans="1:13" ht="19.5" thickBot="1">
      <c r="A6" s="114" t="s">
        <v>2</v>
      </c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6"/>
    </row>
    <row r="7" spans="1:13" ht="12" customHeight="1" thickBot="1">
      <c r="A7" s="102" t="s">
        <v>3</v>
      </c>
      <c r="B7" s="37"/>
      <c r="C7" s="38"/>
      <c r="D7" s="104" t="s">
        <v>5</v>
      </c>
      <c r="E7" s="39">
        <v>0</v>
      </c>
      <c r="F7" s="40"/>
      <c r="G7" s="41"/>
      <c r="H7" s="106" t="s">
        <v>6</v>
      </c>
      <c r="I7" s="42">
        <v>1</v>
      </c>
      <c r="J7" s="40"/>
      <c r="K7" s="41"/>
      <c r="L7" s="104" t="s">
        <v>7</v>
      </c>
      <c r="M7" s="43">
        <v>2</v>
      </c>
    </row>
    <row r="8" spans="1:13" ht="16.5" thickBot="1">
      <c r="A8" s="103"/>
      <c r="B8" s="44"/>
      <c r="C8" s="45"/>
      <c r="D8" s="105"/>
      <c r="E8" s="46"/>
      <c r="F8" s="47"/>
      <c r="G8" s="48"/>
      <c r="H8" s="107"/>
      <c r="I8" s="46"/>
      <c r="J8" s="47"/>
      <c r="K8" s="48"/>
      <c r="L8" s="105"/>
      <c r="M8" s="49"/>
    </row>
    <row r="9" spans="1:13" ht="6" customHeight="1" thickBot="1">
      <c r="A9" s="14"/>
      <c r="B9" s="15"/>
      <c r="C9" s="16"/>
      <c r="D9" s="17"/>
      <c r="E9" s="18"/>
      <c r="F9" s="19"/>
      <c r="G9" s="20"/>
      <c r="H9" s="21"/>
      <c r="I9" s="18"/>
      <c r="J9" s="19"/>
      <c r="K9" s="20"/>
      <c r="L9" s="17"/>
      <c r="M9" s="22"/>
    </row>
    <row r="10" spans="1:13" ht="13.5" customHeight="1" thickBot="1">
      <c r="A10" s="96" t="s">
        <v>4</v>
      </c>
      <c r="B10" s="23"/>
      <c r="C10" s="24">
        <v>0</v>
      </c>
      <c r="D10" s="117" t="s">
        <v>13</v>
      </c>
      <c r="E10" s="25"/>
      <c r="F10" s="23"/>
      <c r="G10" s="24"/>
      <c r="H10" s="117" t="s">
        <v>12</v>
      </c>
      <c r="I10" s="25"/>
      <c r="J10" s="23"/>
      <c r="K10" s="24"/>
      <c r="L10" s="117" t="s">
        <v>11</v>
      </c>
      <c r="M10" s="25"/>
    </row>
    <row r="11" spans="1:13" ht="34.5" customHeight="1" thickBot="1">
      <c r="A11" s="97"/>
      <c r="B11" s="26"/>
      <c r="C11" s="27"/>
      <c r="D11" s="118"/>
      <c r="E11" s="28"/>
      <c r="F11" s="26"/>
      <c r="G11" s="27"/>
      <c r="H11" s="118"/>
      <c r="I11" s="28"/>
      <c r="J11" s="26"/>
      <c r="K11" s="27"/>
      <c r="L11" s="118"/>
      <c r="M11" s="28"/>
    </row>
    <row r="12" spans="1:13" ht="6" customHeight="1" thickBot="1">
      <c r="A12" s="98" t="s">
        <v>8</v>
      </c>
      <c r="B12" s="29"/>
      <c r="C12" s="30"/>
      <c r="D12" s="31"/>
      <c r="E12" s="32"/>
      <c r="F12" s="33"/>
      <c r="G12" s="34"/>
      <c r="H12" s="35"/>
      <c r="I12" s="32"/>
      <c r="J12" s="33"/>
      <c r="K12" s="34"/>
      <c r="L12" s="31"/>
      <c r="M12" s="25"/>
    </row>
    <row r="13" spans="1:13" ht="15.75" thickBot="1">
      <c r="A13" s="96"/>
      <c r="B13" s="23"/>
      <c r="C13" s="24">
        <v>0</v>
      </c>
      <c r="D13" s="117" t="s">
        <v>14</v>
      </c>
      <c r="E13" s="25"/>
      <c r="F13" s="23"/>
      <c r="G13" s="24"/>
      <c r="H13" s="117" t="s">
        <v>9</v>
      </c>
      <c r="I13" s="25"/>
      <c r="J13" s="23"/>
      <c r="K13" s="24"/>
      <c r="L13" s="117" t="s">
        <v>10</v>
      </c>
      <c r="M13" s="25"/>
    </row>
    <row r="14" spans="1:13" ht="45" customHeight="1" thickBot="1">
      <c r="A14" s="97"/>
      <c r="B14" s="23"/>
      <c r="D14" s="117"/>
      <c r="E14" s="25"/>
      <c r="F14" s="23"/>
      <c r="H14" s="117"/>
      <c r="I14" s="25"/>
      <c r="J14" s="23"/>
      <c r="L14" s="117"/>
      <c r="M14" s="25"/>
    </row>
    <row r="15" spans="1:13" ht="6" customHeight="1" thickBot="1">
      <c r="A15" s="99" t="s">
        <v>15</v>
      </c>
      <c r="B15" s="15"/>
      <c r="C15" s="16"/>
      <c r="D15" s="17"/>
      <c r="E15" s="18"/>
      <c r="F15" s="19"/>
      <c r="G15" s="20"/>
      <c r="H15" s="21"/>
      <c r="I15" s="18"/>
      <c r="J15" s="19"/>
      <c r="K15" s="20"/>
      <c r="L15" s="17"/>
      <c r="M15" s="22"/>
    </row>
    <row r="16" spans="1:13" ht="15.75" customHeight="1" thickBot="1">
      <c r="A16" s="100"/>
      <c r="B16" s="23"/>
      <c r="C16" s="24">
        <v>0</v>
      </c>
      <c r="D16" s="117" t="s">
        <v>16</v>
      </c>
      <c r="E16" s="25"/>
      <c r="F16" s="23"/>
      <c r="G16" s="24"/>
      <c r="H16" s="117" t="s">
        <v>17</v>
      </c>
      <c r="I16" s="25"/>
      <c r="J16" s="23"/>
      <c r="K16" s="24"/>
      <c r="L16" s="117" t="s">
        <v>18</v>
      </c>
      <c r="M16" s="25"/>
    </row>
    <row r="17" spans="1:13" ht="44.25" customHeight="1" thickBot="1">
      <c r="A17" s="101"/>
      <c r="B17" s="26"/>
      <c r="C17" s="27"/>
      <c r="D17" s="118"/>
      <c r="E17" s="28"/>
      <c r="F17" s="26"/>
      <c r="G17" s="27"/>
      <c r="H17" s="118"/>
      <c r="I17" s="28"/>
      <c r="J17" s="26"/>
      <c r="K17" s="27"/>
      <c r="L17" s="118"/>
      <c r="M17" s="28"/>
    </row>
    <row r="18" spans="1:13" ht="6" customHeight="1" thickBot="1">
      <c r="A18" s="98" t="s">
        <v>19</v>
      </c>
      <c r="B18" s="15"/>
      <c r="C18" s="16"/>
      <c r="D18" s="17"/>
      <c r="E18" s="18"/>
      <c r="F18" s="19"/>
      <c r="G18" s="20"/>
      <c r="H18" s="21"/>
      <c r="I18" s="18"/>
      <c r="J18" s="19"/>
      <c r="K18" s="20"/>
      <c r="L18" s="17"/>
      <c r="M18" s="22"/>
    </row>
    <row r="19" spans="1:13" ht="15.75" thickBot="1">
      <c r="A19" s="96"/>
      <c r="B19" s="23"/>
      <c r="C19" s="24">
        <v>0</v>
      </c>
      <c r="D19" s="117" t="s">
        <v>20</v>
      </c>
      <c r="E19" s="25"/>
      <c r="F19" s="23"/>
      <c r="G19" s="24"/>
      <c r="H19" s="117" t="s">
        <v>21</v>
      </c>
      <c r="I19" s="25"/>
      <c r="J19" s="23"/>
      <c r="K19" s="24"/>
      <c r="L19" s="117" t="s">
        <v>22</v>
      </c>
      <c r="M19" s="25"/>
    </row>
    <row r="20" spans="1:13" ht="65.25" customHeight="1" thickBot="1">
      <c r="A20" s="97"/>
      <c r="B20" s="26"/>
      <c r="C20" s="27"/>
      <c r="D20" s="118"/>
      <c r="E20" s="28"/>
      <c r="F20" s="26"/>
      <c r="G20" s="27"/>
      <c r="H20" s="118"/>
      <c r="I20" s="28"/>
      <c r="J20" s="26"/>
      <c r="K20" s="27"/>
      <c r="L20" s="118"/>
      <c r="M20" s="28"/>
    </row>
    <row r="21" spans="1:13" ht="6" customHeight="1" thickBot="1">
      <c r="A21" s="99" t="s">
        <v>23</v>
      </c>
      <c r="B21" s="15"/>
      <c r="C21" s="16"/>
      <c r="D21" s="17"/>
      <c r="E21" s="18"/>
      <c r="F21" s="19"/>
      <c r="G21" s="20"/>
      <c r="H21" s="21"/>
      <c r="I21" s="18"/>
      <c r="J21" s="19"/>
      <c r="K21" s="20"/>
      <c r="L21" s="17"/>
      <c r="M21" s="22"/>
    </row>
    <row r="22" spans="1:13" ht="15.75" customHeight="1" thickBot="1">
      <c r="A22" s="100"/>
      <c r="B22" s="23">
        <v>0</v>
      </c>
      <c r="C22" s="24"/>
      <c r="D22" s="117" t="s">
        <v>24</v>
      </c>
      <c r="E22" s="25"/>
      <c r="F22" s="23"/>
      <c r="G22" s="24"/>
      <c r="H22" s="117" t="s">
        <v>25</v>
      </c>
      <c r="I22" s="25"/>
      <c r="J22" s="23"/>
      <c r="K22" s="24"/>
      <c r="L22" s="117" t="s">
        <v>26</v>
      </c>
      <c r="M22" s="25"/>
    </row>
    <row r="23" spans="1:13" ht="48" customHeight="1" thickBot="1">
      <c r="A23" s="101"/>
      <c r="B23" s="26"/>
      <c r="C23" s="27"/>
      <c r="D23" s="118"/>
      <c r="E23" s="28"/>
      <c r="F23" s="26"/>
      <c r="G23" s="27"/>
      <c r="H23" s="118"/>
      <c r="I23" s="28"/>
      <c r="J23" s="26"/>
      <c r="K23" s="27"/>
      <c r="L23" s="118"/>
      <c r="M23" s="28"/>
    </row>
    <row r="24" spans="1:13" ht="6" customHeight="1" thickBot="1">
      <c r="A24" s="98" t="s">
        <v>27</v>
      </c>
      <c r="B24" s="15"/>
      <c r="C24" s="16"/>
      <c r="D24" s="17"/>
      <c r="E24" s="18"/>
      <c r="F24" s="19"/>
      <c r="G24" s="20"/>
      <c r="H24" s="21"/>
      <c r="I24" s="18"/>
      <c r="J24" s="19"/>
      <c r="K24" s="20"/>
      <c r="L24" s="17"/>
      <c r="M24" s="22"/>
    </row>
    <row r="25" spans="1:13" ht="15.75" thickBot="1">
      <c r="A25" s="96"/>
      <c r="B25" s="23"/>
      <c r="C25" s="24">
        <v>0</v>
      </c>
      <c r="D25" s="117" t="s">
        <v>28</v>
      </c>
      <c r="E25" s="25"/>
      <c r="F25" s="23"/>
      <c r="G25" s="24"/>
      <c r="H25" s="117" t="s">
        <v>699</v>
      </c>
      <c r="I25" s="25"/>
      <c r="J25" s="23"/>
      <c r="K25" s="24"/>
      <c r="L25" s="117" t="s">
        <v>29</v>
      </c>
      <c r="M25" s="25"/>
    </row>
    <row r="26" spans="1:13" ht="44.25" customHeight="1" thickBot="1">
      <c r="A26" s="97"/>
      <c r="B26" s="26"/>
      <c r="C26" s="27"/>
      <c r="D26" s="118"/>
      <c r="E26" s="28"/>
      <c r="F26" s="26"/>
      <c r="G26" s="27"/>
      <c r="H26" s="118"/>
      <c r="I26" s="28"/>
      <c r="J26" s="26"/>
      <c r="K26" s="27"/>
      <c r="L26" s="118"/>
      <c r="M26" s="28"/>
    </row>
    <row r="27" spans="1:13" ht="9.75" customHeight="1" thickBot="1">
      <c r="D27" s="50"/>
      <c r="E27" s="51"/>
      <c r="F27" s="51"/>
      <c r="G27" s="51"/>
      <c r="H27" s="51"/>
      <c r="I27" s="52"/>
    </row>
    <row r="28" spans="1:13" ht="15.75" thickBot="1">
      <c r="D28" s="53" t="s">
        <v>35</v>
      </c>
      <c r="E28" s="59">
        <f>AVERAGE(C10,G10,K10,C13,G13,K13,C16,G16,K16,C19,G19,K19,C22,G22,K22,C25,G25,K25)</f>
        <v>0</v>
      </c>
      <c r="F28" s="54"/>
      <c r="G28" s="54"/>
      <c r="H28" s="54"/>
      <c r="I28" s="55"/>
    </row>
    <row r="29" spans="1:13" ht="8.25" customHeight="1" thickBot="1">
      <c r="D29" s="56"/>
      <c r="E29" s="57"/>
      <c r="F29" s="57"/>
      <c r="G29" s="57"/>
      <c r="H29" s="57"/>
      <c r="I29" s="58"/>
    </row>
  </sheetData>
  <sheetProtection algorithmName="SHA-512" hashValue="PYREQbn/zXclyYwwrdBHhz+Ffj41IP4dpFlUiM7rxzWPQp8IYTRahMkJklz0hYjurMZxVNi86HzPVszrCSNtRg==" saltValue="cR4MxJF8RDfdzjL9Ph57xw==" spinCount="100000" sheet="1" selectLockedCells="1"/>
  <mergeCells count="33">
    <mergeCell ref="A2:G2"/>
    <mergeCell ref="I2:L2"/>
    <mergeCell ref="D22:D23"/>
    <mergeCell ref="H22:H23"/>
    <mergeCell ref="A24:A26"/>
    <mergeCell ref="L22:L23"/>
    <mergeCell ref="D25:D26"/>
    <mergeCell ref="H25:H26"/>
    <mergeCell ref="L25:L26"/>
    <mergeCell ref="D16:D17"/>
    <mergeCell ref="H16:H17"/>
    <mergeCell ref="L16:L17"/>
    <mergeCell ref="D19:D20"/>
    <mergeCell ref="H19:H20"/>
    <mergeCell ref="L19:L20"/>
    <mergeCell ref="D10:D11"/>
    <mergeCell ref="H10:H11"/>
    <mergeCell ref="L10:L11"/>
    <mergeCell ref="D13:D14"/>
    <mergeCell ref="H13:H14"/>
    <mergeCell ref="L13:L14"/>
    <mergeCell ref="A7:A8"/>
    <mergeCell ref="D7:D8"/>
    <mergeCell ref="H7:H8"/>
    <mergeCell ref="L7:L8"/>
    <mergeCell ref="A4:M4"/>
    <mergeCell ref="A5:M5"/>
    <mergeCell ref="A6:M6"/>
    <mergeCell ref="A10:A11"/>
    <mergeCell ref="A12:A14"/>
    <mergeCell ref="A15:A17"/>
    <mergeCell ref="A18:A20"/>
    <mergeCell ref="A21:A23"/>
  </mergeCells>
  <conditionalFormatting sqref="C10">
    <cfRule type="colorScale" priority="19">
      <colorScale>
        <cfvo type="num" val="0"/>
        <cfvo type="num" val="1"/>
        <cfvo type="num" val="2"/>
        <color rgb="FFFF0000"/>
        <color rgb="FFFFC000"/>
        <color rgb="FF00B050"/>
      </colorScale>
    </cfRule>
  </conditionalFormatting>
  <conditionalFormatting sqref="C13">
    <cfRule type="colorScale" priority="16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16">
    <cfRule type="colorScale" priority="13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19">
    <cfRule type="colorScale" priority="10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22">
    <cfRule type="colorScale" priority="7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25">
    <cfRule type="colorScale" priority="4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E28">
    <cfRule type="colorScale" priority="1">
      <colorScale>
        <cfvo type="num" val="0"/>
        <cfvo type="num" val="1"/>
        <cfvo type="num" val="2"/>
        <color rgb="FFC00000"/>
        <color theme="7"/>
        <color theme="9"/>
      </colorScale>
    </cfRule>
  </conditionalFormatting>
  <conditionalFormatting sqref="G10">
    <cfRule type="colorScale" priority="18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13">
    <cfRule type="colorScale" priority="15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16">
    <cfRule type="colorScale" priority="12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19">
    <cfRule type="colorScale" priority="9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22">
    <cfRule type="colorScale" priority="6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25">
    <cfRule type="colorScale" priority="3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10">
    <cfRule type="colorScale" priority="17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13">
    <cfRule type="colorScale" priority="14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16">
    <cfRule type="colorScale" priority="11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19">
    <cfRule type="colorScale" priority="8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22">
    <cfRule type="colorScale" priority="5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25">
    <cfRule type="colorScale" priority="2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44"/>
  <sheetViews>
    <sheetView topLeftCell="A31" workbookViewId="0">
      <selection activeCell="L40" sqref="L40:L41"/>
    </sheetView>
  </sheetViews>
  <sheetFormatPr baseColWidth="10" defaultColWidth="9.140625" defaultRowHeight="15"/>
  <cols>
    <col min="1" max="1" width="20.140625" style="1" customWidth="1"/>
    <col min="2" max="2" width="1" style="1" customWidth="1"/>
    <col min="3" max="3" width="3.7109375" style="1" customWidth="1"/>
    <col min="4" max="4" width="30.7109375" style="1" customWidth="1"/>
    <col min="5" max="5" width="3.7109375" style="1" customWidth="1"/>
    <col min="6" max="6" width="1" style="1" customWidth="1"/>
    <col min="7" max="7" width="3.7109375" style="1" customWidth="1"/>
    <col min="8" max="8" width="30.7109375" style="1" customWidth="1"/>
    <col min="9" max="9" width="3.7109375" style="1" customWidth="1"/>
    <col min="10" max="10" width="1" style="1" customWidth="1"/>
    <col min="11" max="11" width="3.7109375" style="1" customWidth="1"/>
    <col min="12" max="12" width="30.7109375" style="1" customWidth="1"/>
    <col min="13" max="13" width="3.7109375" style="1" customWidth="1"/>
    <col min="14" max="16384" width="9.140625" style="1"/>
  </cols>
  <sheetData>
    <row r="2" spans="1:13">
      <c r="A2" s="119" t="s">
        <v>644</v>
      </c>
      <c r="B2" s="119"/>
      <c r="C2" s="119"/>
      <c r="D2" s="119"/>
      <c r="E2" s="119"/>
      <c r="F2" s="119"/>
      <c r="G2" s="119"/>
      <c r="H2" s="1" t="s">
        <v>704</v>
      </c>
      <c r="I2" s="120" t="s">
        <v>645</v>
      </c>
      <c r="J2" s="120"/>
      <c r="K2" s="120"/>
      <c r="L2" s="120"/>
    </row>
    <row r="3" spans="1:13" ht="15.75" thickBot="1"/>
    <row r="4" spans="1:13" ht="18.75">
      <c r="A4" s="108" t="s">
        <v>0</v>
      </c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10"/>
    </row>
    <row r="5" spans="1:13" ht="18.75">
      <c r="A5" s="111" t="s">
        <v>1</v>
      </c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3"/>
    </row>
    <row r="6" spans="1:13" ht="19.5" thickBot="1">
      <c r="A6" s="114" t="s">
        <v>30</v>
      </c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6"/>
    </row>
    <row r="7" spans="1:13" ht="12" customHeight="1" thickBot="1">
      <c r="A7" s="102" t="s">
        <v>3</v>
      </c>
      <c r="B7" s="37"/>
      <c r="C7" s="38"/>
      <c r="D7" s="104" t="s">
        <v>5</v>
      </c>
      <c r="E7" s="39">
        <v>0</v>
      </c>
      <c r="F7" s="40"/>
      <c r="G7" s="41"/>
      <c r="H7" s="106" t="s">
        <v>6</v>
      </c>
      <c r="I7" s="95">
        <v>1</v>
      </c>
      <c r="J7" s="40"/>
      <c r="K7" s="41"/>
      <c r="L7" s="104" t="s">
        <v>7</v>
      </c>
      <c r="M7" s="43">
        <v>2</v>
      </c>
    </row>
    <row r="8" spans="1:13" ht="16.5" thickBot="1">
      <c r="A8" s="103"/>
      <c r="B8" s="44"/>
      <c r="C8" s="45"/>
      <c r="D8" s="105"/>
      <c r="E8" s="46"/>
      <c r="F8" s="47"/>
      <c r="G8" s="48"/>
      <c r="H8" s="107"/>
      <c r="I8" s="48"/>
      <c r="J8" s="47"/>
      <c r="K8" s="48"/>
      <c r="L8" s="105"/>
      <c r="M8" s="49"/>
    </row>
    <row r="9" spans="1:13" ht="6" customHeight="1" thickBot="1">
      <c r="A9" s="98" t="s">
        <v>31</v>
      </c>
      <c r="B9" s="15"/>
      <c r="C9" s="16"/>
      <c r="D9" s="17"/>
      <c r="E9" s="18"/>
      <c r="F9" s="19"/>
      <c r="G9" s="20"/>
      <c r="H9" s="21"/>
      <c r="I9" s="20"/>
      <c r="J9" s="19"/>
      <c r="K9" s="20"/>
      <c r="L9" s="17"/>
      <c r="M9" s="22"/>
    </row>
    <row r="10" spans="1:13" ht="13.5" customHeight="1" thickBot="1">
      <c r="A10" s="96"/>
      <c r="B10" s="23"/>
      <c r="C10" s="24"/>
      <c r="D10" s="117" t="s">
        <v>32</v>
      </c>
      <c r="E10" s="25"/>
      <c r="F10" s="23"/>
      <c r="G10" s="24">
        <v>1</v>
      </c>
      <c r="H10" s="117" t="s">
        <v>33</v>
      </c>
      <c r="J10" s="23"/>
      <c r="K10" s="24"/>
      <c r="L10" s="117" t="s">
        <v>34</v>
      </c>
      <c r="M10" s="25"/>
    </row>
    <row r="11" spans="1:13" ht="21" customHeight="1" thickBot="1">
      <c r="A11" s="97"/>
      <c r="B11" s="26"/>
      <c r="C11" s="27"/>
      <c r="D11" s="118"/>
      <c r="E11" s="28"/>
      <c r="F11" s="26"/>
      <c r="G11" s="27"/>
      <c r="H11" s="118"/>
      <c r="I11" s="27"/>
      <c r="J11" s="26"/>
      <c r="K11" s="27"/>
      <c r="L11" s="118"/>
      <c r="M11" s="28"/>
    </row>
    <row r="12" spans="1:13" ht="6" customHeight="1" thickBot="1">
      <c r="A12" s="98" t="s">
        <v>36</v>
      </c>
      <c r="B12" s="29"/>
      <c r="C12" s="30"/>
      <c r="D12" s="31"/>
      <c r="E12" s="32"/>
      <c r="F12" s="33"/>
      <c r="G12" s="34"/>
      <c r="H12" s="35"/>
      <c r="I12" s="32"/>
      <c r="J12" s="33"/>
      <c r="K12" s="34"/>
      <c r="L12" s="31"/>
      <c r="M12" s="25"/>
    </row>
    <row r="13" spans="1:13" ht="15.75" thickBot="1">
      <c r="A13" s="96"/>
      <c r="B13" s="23"/>
      <c r="C13" s="24"/>
      <c r="D13" s="117" t="s">
        <v>37</v>
      </c>
      <c r="E13" s="25"/>
      <c r="F13" s="23"/>
      <c r="G13" s="24"/>
      <c r="H13" s="117" t="s">
        <v>687</v>
      </c>
      <c r="I13" s="25"/>
      <c r="J13" s="23"/>
      <c r="K13" s="24">
        <v>2</v>
      </c>
      <c r="L13" s="117" t="s">
        <v>38</v>
      </c>
      <c r="M13" s="25"/>
    </row>
    <row r="14" spans="1:13" ht="45" customHeight="1" thickBot="1">
      <c r="A14" s="97"/>
      <c r="B14" s="23"/>
      <c r="D14" s="117"/>
      <c r="E14" s="25"/>
      <c r="F14" s="23"/>
      <c r="H14" s="117"/>
      <c r="I14" s="25"/>
      <c r="J14" s="23"/>
      <c r="L14" s="117"/>
      <c r="M14" s="25"/>
    </row>
    <row r="15" spans="1:13" ht="6" customHeight="1" thickBot="1">
      <c r="A15" s="99" t="s">
        <v>39</v>
      </c>
      <c r="B15" s="15"/>
      <c r="C15" s="16"/>
      <c r="D15" s="17"/>
      <c r="E15" s="18"/>
      <c r="F15" s="19"/>
      <c r="G15" s="20"/>
      <c r="H15" s="21"/>
      <c r="I15" s="18"/>
      <c r="J15" s="19"/>
      <c r="K15" s="20"/>
      <c r="L15" s="17"/>
      <c r="M15" s="22"/>
    </row>
    <row r="16" spans="1:13" ht="15.75" customHeight="1" thickBot="1">
      <c r="A16" s="100"/>
      <c r="B16" s="23"/>
      <c r="C16" s="24"/>
      <c r="D16" s="117" t="s">
        <v>40</v>
      </c>
      <c r="E16" s="25"/>
      <c r="F16" s="23"/>
      <c r="G16" s="24"/>
      <c r="H16" s="117" t="s">
        <v>688</v>
      </c>
      <c r="I16" s="25"/>
      <c r="J16" s="23"/>
      <c r="K16" s="24">
        <v>2</v>
      </c>
      <c r="L16" s="117" t="s">
        <v>41</v>
      </c>
      <c r="M16" s="25"/>
    </row>
    <row r="17" spans="1:13" ht="44.25" customHeight="1" thickBot="1">
      <c r="A17" s="101"/>
      <c r="B17" s="26"/>
      <c r="C17" s="27"/>
      <c r="D17" s="118"/>
      <c r="E17" s="28"/>
      <c r="F17" s="26"/>
      <c r="G17" s="27"/>
      <c r="H17" s="118"/>
      <c r="I17" s="28"/>
      <c r="J17" s="26"/>
      <c r="K17" s="27"/>
      <c r="L17" s="118"/>
      <c r="M17" s="28"/>
    </row>
    <row r="18" spans="1:13" ht="6" customHeight="1" thickBot="1">
      <c r="A18" s="98" t="s">
        <v>42</v>
      </c>
      <c r="B18" s="15"/>
      <c r="C18" s="16"/>
      <c r="D18" s="17"/>
      <c r="E18" s="18"/>
      <c r="F18" s="19"/>
      <c r="G18" s="20"/>
      <c r="H18" s="21"/>
      <c r="I18" s="18"/>
      <c r="J18" s="19"/>
      <c r="K18" s="20"/>
      <c r="L18" s="17"/>
      <c r="M18" s="22"/>
    </row>
    <row r="19" spans="1:13" ht="15" customHeight="1" thickBot="1">
      <c r="A19" s="96"/>
      <c r="B19" s="23"/>
      <c r="C19" s="24"/>
      <c r="D19" s="117" t="s">
        <v>43</v>
      </c>
      <c r="E19" s="25"/>
      <c r="F19" s="23"/>
      <c r="G19" s="24"/>
      <c r="H19" s="117" t="s">
        <v>689</v>
      </c>
      <c r="I19" s="25"/>
      <c r="J19" s="23"/>
      <c r="K19" s="24">
        <v>2</v>
      </c>
      <c r="L19" s="117" t="s">
        <v>44</v>
      </c>
      <c r="M19" s="25"/>
    </row>
    <row r="20" spans="1:13" ht="29.25" customHeight="1" thickBot="1">
      <c r="A20" s="97"/>
      <c r="B20" s="26"/>
      <c r="C20" s="27"/>
      <c r="D20" s="118"/>
      <c r="E20" s="28"/>
      <c r="F20" s="26"/>
      <c r="G20" s="27"/>
      <c r="H20" s="118"/>
      <c r="I20" s="28"/>
      <c r="J20" s="26"/>
      <c r="K20" s="27"/>
      <c r="L20" s="118"/>
      <c r="M20" s="28"/>
    </row>
    <row r="21" spans="1:13" ht="6" customHeight="1" thickBot="1">
      <c r="A21" s="99" t="s">
        <v>45</v>
      </c>
      <c r="B21" s="15"/>
      <c r="C21" s="16"/>
      <c r="D21" s="17"/>
      <c r="E21" s="18"/>
      <c r="F21" s="19"/>
      <c r="G21" s="20"/>
      <c r="H21" s="21"/>
      <c r="I21" s="18"/>
      <c r="J21" s="19"/>
      <c r="K21" s="20"/>
      <c r="L21" s="17"/>
      <c r="M21" s="22"/>
    </row>
    <row r="22" spans="1:13" ht="15.75" thickBot="1">
      <c r="A22" s="100"/>
      <c r="B22" s="23"/>
      <c r="C22" s="24"/>
      <c r="D22" s="117" t="s">
        <v>46</v>
      </c>
      <c r="E22" s="25"/>
      <c r="F22" s="23"/>
      <c r="G22" s="24">
        <v>1</v>
      </c>
      <c r="H22" s="117" t="s">
        <v>47</v>
      </c>
      <c r="I22" s="25"/>
      <c r="J22" s="23"/>
      <c r="K22" s="24"/>
      <c r="L22" s="117" t="s">
        <v>48</v>
      </c>
      <c r="M22" s="25"/>
    </row>
    <row r="23" spans="1:13" ht="48" customHeight="1" thickBot="1">
      <c r="A23" s="101"/>
      <c r="B23" s="26"/>
      <c r="C23" s="27"/>
      <c r="D23" s="118"/>
      <c r="E23" s="28"/>
      <c r="F23" s="26"/>
      <c r="G23" s="27"/>
      <c r="H23" s="118"/>
      <c r="I23" s="28"/>
      <c r="J23" s="26"/>
      <c r="K23" s="27"/>
      <c r="L23" s="118"/>
      <c r="M23" s="28"/>
    </row>
    <row r="24" spans="1:13" ht="6" customHeight="1" thickBot="1">
      <c r="A24" s="99" t="s">
        <v>49</v>
      </c>
      <c r="B24" s="15"/>
      <c r="C24" s="16"/>
      <c r="D24" s="17"/>
      <c r="E24" s="18"/>
      <c r="F24" s="19"/>
      <c r="G24" s="20"/>
      <c r="H24" s="21"/>
      <c r="I24" s="18"/>
      <c r="J24" s="19"/>
      <c r="K24" s="20"/>
      <c r="L24" s="17"/>
      <c r="M24" s="22"/>
    </row>
    <row r="25" spans="1:13" ht="15.75" customHeight="1" thickBot="1">
      <c r="A25" s="100"/>
      <c r="B25" s="23"/>
      <c r="C25" s="24"/>
      <c r="D25" s="117" t="s">
        <v>53</v>
      </c>
      <c r="E25" s="25"/>
      <c r="F25" s="23"/>
      <c r="G25" s="24">
        <v>1</v>
      </c>
      <c r="H25" s="117" t="s">
        <v>690</v>
      </c>
      <c r="I25" s="25"/>
      <c r="J25" s="23"/>
      <c r="K25" s="24"/>
      <c r="L25" s="117" t="s">
        <v>54</v>
      </c>
      <c r="M25" s="25"/>
    </row>
    <row r="26" spans="1:13" ht="49.5" customHeight="1" thickBot="1">
      <c r="A26" s="101"/>
      <c r="B26" s="26"/>
      <c r="C26" s="27"/>
      <c r="D26" s="118"/>
      <c r="E26" s="28"/>
      <c r="F26" s="26"/>
      <c r="G26" s="27"/>
      <c r="H26" s="118"/>
      <c r="I26" s="28"/>
      <c r="J26" s="26"/>
      <c r="K26" s="27"/>
      <c r="L26" s="118"/>
      <c r="M26" s="28"/>
    </row>
    <row r="27" spans="1:13" ht="6" customHeight="1" thickBot="1">
      <c r="A27" s="99" t="s">
        <v>50</v>
      </c>
      <c r="B27" s="15"/>
      <c r="C27" s="16"/>
      <c r="D27" s="17"/>
      <c r="E27" s="18"/>
      <c r="F27" s="19"/>
      <c r="G27" s="20"/>
      <c r="H27" s="21"/>
      <c r="I27" s="18"/>
      <c r="J27" s="19"/>
      <c r="K27" s="20"/>
      <c r="L27" s="17"/>
      <c r="M27" s="22"/>
    </row>
    <row r="28" spans="1:13" ht="15" customHeight="1" thickBot="1">
      <c r="A28" s="100"/>
      <c r="B28" s="23"/>
      <c r="C28" s="24"/>
      <c r="D28" s="117" t="s">
        <v>55</v>
      </c>
      <c r="E28" s="25"/>
      <c r="F28" s="23"/>
      <c r="G28" s="24">
        <v>1</v>
      </c>
      <c r="H28" s="117" t="s">
        <v>691</v>
      </c>
      <c r="I28" s="25"/>
      <c r="J28" s="23"/>
      <c r="K28" s="24"/>
      <c r="L28" s="117" t="s">
        <v>696</v>
      </c>
      <c r="M28" s="25"/>
    </row>
    <row r="29" spans="1:13" ht="49.5" customHeight="1" thickBot="1">
      <c r="A29" s="101"/>
      <c r="B29" s="26"/>
      <c r="C29" s="27"/>
      <c r="D29" s="118"/>
      <c r="E29" s="28"/>
      <c r="F29" s="26"/>
      <c r="G29" s="27"/>
      <c r="H29" s="118"/>
      <c r="I29" s="28"/>
      <c r="J29" s="26"/>
      <c r="K29" s="27"/>
      <c r="L29" s="118"/>
      <c r="M29" s="28"/>
    </row>
    <row r="30" spans="1:13" ht="6" customHeight="1" thickBot="1">
      <c r="A30" s="99" t="s">
        <v>51</v>
      </c>
      <c r="B30" s="15"/>
      <c r="C30" s="16"/>
      <c r="D30" s="17"/>
      <c r="E30" s="18"/>
      <c r="F30" s="19"/>
      <c r="G30" s="20"/>
      <c r="H30" s="21"/>
      <c r="I30" s="18"/>
      <c r="J30" s="19"/>
      <c r="K30" s="20"/>
      <c r="L30" s="17"/>
      <c r="M30" s="22"/>
    </row>
    <row r="31" spans="1:13" ht="15" customHeight="1" thickBot="1">
      <c r="A31" s="100"/>
      <c r="B31" s="23"/>
      <c r="C31" s="24">
        <v>0</v>
      </c>
      <c r="D31" s="117" t="s">
        <v>686</v>
      </c>
      <c r="E31" s="25"/>
      <c r="F31" s="23"/>
      <c r="G31" s="24"/>
      <c r="H31" s="117" t="s">
        <v>692</v>
      </c>
      <c r="I31" s="25"/>
      <c r="J31" s="23"/>
      <c r="K31" s="24"/>
      <c r="L31" s="117" t="s">
        <v>695</v>
      </c>
      <c r="M31" s="25"/>
    </row>
    <row r="32" spans="1:13" ht="49.5" customHeight="1" thickBot="1">
      <c r="A32" s="101"/>
      <c r="B32" s="26"/>
      <c r="C32" s="27"/>
      <c r="D32" s="118"/>
      <c r="E32" s="28"/>
      <c r="F32" s="26"/>
      <c r="G32" s="27"/>
      <c r="H32" s="118"/>
      <c r="I32" s="28"/>
      <c r="J32" s="26"/>
      <c r="K32" s="27"/>
      <c r="L32" s="118"/>
      <c r="M32" s="28"/>
    </row>
    <row r="33" spans="1:13" ht="6" customHeight="1" thickBot="1">
      <c r="A33" s="99" t="s">
        <v>52</v>
      </c>
      <c r="B33" s="15"/>
      <c r="C33" s="16"/>
      <c r="D33" s="17"/>
      <c r="E33" s="18"/>
      <c r="F33" s="19"/>
      <c r="G33" s="20"/>
      <c r="H33" s="21"/>
      <c r="I33" s="18"/>
      <c r="J33" s="19"/>
      <c r="K33" s="20"/>
      <c r="L33" s="17"/>
      <c r="M33" s="22"/>
    </row>
    <row r="34" spans="1:13" ht="15" customHeight="1" thickBot="1">
      <c r="A34" s="100"/>
      <c r="B34" s="23"/>
      <c r="C34" s="24">
        <v>0</v>
      </c>
      <c r="D34" s="117" t="s">
        <v>684</v>
      </c>
      <c r="E34" s="25"/>
      <c r="F34" s="23"/>
      <c r="G34" s="24"/>
      <c r="H34" s="117" t="s">
        <v>693</v>
      </c>
      <c r="I34" s="25"/>
      <c r="J34" s="23"/>
      <c r="K34" s="24"/>
      <c r="L34" s="117" t="s">
        <v>697</v>
      </c>
      <c r="M34" s="25"/>
    </row>
    <row r="35" spans="1:13" ht="49.5" customHeight="1" thickBot="1">
      <c r="A35" s="101"/>
      <c r="B35" s="26"/>
      <c r="C35" s="27"/>
      <c r="D35" s="118"/>
      <c r="E35" s="28"/>
      <c r="F35" s="26"/>
      <c r="G35" s="27"/>
      <c r="H35" s="118"/>
      <c r="I35" s="28"/>
      <c r="J35" s="26"/>
      <c r="K35" s="27"/>
      <c r="L35" s="118"/>
      <c r="M35" s="28"/>
    </row>
    <row r="36" spans="1:13" ht="6" customHeight="1" thickBot="1">
      <c r="A36" s="99" t="s">
        <v>19</v>
      </c>
      <c r="B36" s="15"/>
      <c r="C36" s="16"/>
      <c r="D36" s="17"/>
      <c r="E36" s="18"/>
      <c r="F36" s="19"/>
      <c r="G36" s="20"/>
      <c r="H36" s="21"/>
      <c r="I36" s="18"/>
      <c r="J36" s="19"/>
      <c r="K36" s="20"/>
      <c r="L36" s="17"/>
      <c r="M36" s="22"/>
    </row>
    <row r="37" spans="1:13" ht="15" customHeight="1" thickBot="1">
      <c r="A37" s="100"/>
      <c r="B37" s="23"/>
      <c r="C37" s="24">
        <v>0</v>
      </c>
      <c r="D37" s="117" t="s">
        <v>685</v>
      </c>
      <c r="E37" s="25"/>
      <c r="F37" s="23"/>
      <c r="G37" s="24"/>
      <c r="H37" s="117" t="s">
        <v>694</v>
      </c>
      <c r="I37" s="25"/>
      <c r="J37" s="23"/>
      <c r="K37" s="24"/>
      <c r="L37" s="117" t="s">
        <v>698</v>
      </c>
      <c r="M37" s="25"/>
    </row>
    <row r="38" spans="1:13" ht="49.5" customHeight="1" thickBot="1">
      <c r="A38" s="101"/>
      <c r="B38" s="26"/>
      <c r="C38" s="27"/>
      <c r="D38" s="118"/>
      <c r="E38" s="28"/>
      <c r="F38" s="26"/>
      <c r="G38" s="27"/>
      <c r="H38" s="118"/>
      <c r="I38" s="28"/>
      <c r="J38" s="26"/>
      <c r="K38" s="27"/>
      <c r="L38" s="118"/>
      <c r="M38" s="28"/>
    </row>
    <row r="39" spans="1:13" ht="6" customHeight="1" thickBot="1">
      <c r="A39" s="98" t="s">
        <v>27</v>
      </c>
      <c r="B39" s="15"/>
      <c r="C39" s="16"/>
      <c r="D39" s="17"/>
      <c r="E39" s="18"/>
      <c r="F39" s="19"/>
      <c r="G39" s="20"/>
      <c r="H39" s="21"/>
      <c r="I39" s="18"/>
      <c r="J39" s="19"/>
      <c r="K39" s="20"/>
      <c r="L39" s="17"/>
      <c r="M39" s="22"/>
    </row>
    <row r="40" spans="1:13" ht="15.75" thickBot="1">
      <c r="A40" s="96"/>
      <c r="B40" s="23"/>
      <c r="C40" s="24">
        <v>0</v>
      </c>
      <c r="D40" s="117" t="s">
        <v>28</v>
      </c>
      <c r="E40" s="25"/>
      <c r="F40" s="23"/>
      <c r="G40" s="24"/>
      <c r="H40" s="117" t="s">
        <v>699</v>
      </c>
      <c r="I40" s="25"/>
      <c r="J40" s="23"/>
      <c r="K40" s="24"/>
      <c r="L40" s="117" t="s">
        <v>29</v>
      </c>
      <c r="M40" s="25"/>
    </row>
    <row r="41" spans="1:13" ht="44.25" customHeight="1" thickBot="1">
      <c r="A41" s="97"/>
      <c r="B41" s="26"/>
      <c r="C41" s="27"/>
      <c r="D41" s="118"/>
      <c r="E41" s="28"/>
      <c r="F41" s="26"/>
      <c r="G41" s="27"/>
      <c r="H41" s="118"/>
      <c r="I41" s="28"/>
      <c r="J41" s="26"/>
      <c r="K41" s="27"/>
      <c r="L41" s="118"/>
      <c r="M41" s="28"/>
    </row>
    <row r="42" spans="1:13" ht="15.75" thickBot="1">
      <c r="D42" s="50"/>
      <c r="E42" s="51"/>
      <c r="F42" s="51"/>
      <c r="G42" s="51"/>
      <c r="H42" s="51"/>
      <c r="I42" s="52"/>
    </row>
    <row r="43" spans="1:13" ht="15.75" thickBot="1">
      <c r="D43" s="53" t="s">
        <v>276</v>
      </c>
      <c r="E43" s="59">
        <f>AVERAGE(C10,G10,K10,C13,G13,K13,C16,G16,K16,C19,G19,K19,C25,G25,K25,C28,G28,K28,C31,G31,K31,C34,G34,K34,C37,G37,K37,C22,G22,K22,C40,G40,K40)</f>
        <v>0.90909090909090906</v>
      </c>
      <c r="F43" s="54"/>
      <c r="G43" s="54"/>
      <c r="H43" s="54"/>
      <c r="I43" s="55"/>
    </row>
    <row r="44" spans="1:13" ht="15.75" thickBot="1">
      <c r="D44" s="56"/>
      <c r="E44" s="57"/>
      <c r="F44" s="57"/>
      <c r="G44" s="57"/>
      <c r="H44" s="57"/>
      <c r="I44" s="58"/>
    </row>
  </sheetData>
  <sheetProtection algorithmName="SHA-512" hashValue="x1gFyc5ZCpwkIBgL+r0aIxTlSdORk1ckTzqlzsZORVsBAmtYKHX2IpK78cCAdoYvWrmjckrvCPXrVbEDBwWq1g==" saltValue="tAtkG/Ab+lHywWSMD3mQog==" spinCount="100000" sheet="1" objects="1" scenarios="1" selectLockedCells="1"/>
  <mergeCells count="53">
    <mergeCell ref="A39:A41"/>
    <mergeCell ref="A36:A38"/>
    <mergeCell ref="A2:G2"/>
    <mergeCell ref="I2:L2"/>
    <mergeCell ref="D25:D26"/>
    <mergeCell ref="H25:H26"/>
    <mergeCell ref="L25:L26"/>
    <mergeCell ref="D37:D38"/>
    <mergeCell ref="H37:H38"/>
    <mergeCell ref="L37:L38"/>
    <mergeCell ref="D31:D32"/>
    <mergeCell ref="H31:H32"/>
    <mergeCell ref="L31:L32"/>
    <mergeCell ref="D34:D35"/>
    <mergeCell ref="H34:H35"/>
    <mergeCell ref="L34:L35"/>
    <mergeCell ref="A33:A35"/>
    <mergeCell ref="A30:A32"/>
    <mergeCell ref="A27:A29"/>
    <mergeCell ref="D22:D23"/>
    <mergeCell ref="H22:H23"/>
    <mergeCell ref="A21:A23"/>
    <mergeCell ref="A24:A26"/>
    <mergeCell ref="L22:L23"/>
    <mergeCell ref="D40:D41"/>
    <mergeCell ref="H40:H41"/>
    <mergeCell ref="L40:L41"/>
    <mergeCell ref="D28:D29"/>
    <mergeCell ref="H28:H29"/>
    <mergeCell ref="L28:L29"/>
    <mergeCell ref="L13:L14"/>
    <mergeCell ref="D16:D17"/>
    <mergeCell ref="H16:H17"/>
    <mergeCell ref="L16:L17"/>
    <mergeCell ref="D19:D20"/>
    <mergeCell ref="H19:H20"/>
    <mergeCell ref="L19:L20"/>
    <mergeCell ref="A18:A20"/>
    <mergeCell ref="A15:A17"/>
    <mergeCell ref="A12:A14"/>
    <mergeCell ref="A9:A11"/>
    <mergeCell ref="A4:M4"/>
    <mergeCell ref="A5:M5"/>
    <mergeCell ref="A6:M6"/>
    <mergeCell ref="A7:A8"/>
    <mergeCell ref="D7:D8"/>
    <mergeCell ref="H7:H8"/>
    <mergeCell ref="L7:L8"/>
    <mergeCell ref="D10:D11"/>
    <mergeCell ref="H10:H11"/>
    <mergeCell ref="L10:L11"/>
    <mergeCell ref="D13:D14"/>
    <mergeCell ref="H13:H14"/>
  </mergeCells>
  <conditionalFormatting sqref="C10">
    <cfRule type="colorScale" priority="34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13">
    <cfRule type="colorScale" priority="31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16">
    <cfRule type="colorScale" priority="28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19">
    <cfRule type="colorScale" priority="25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22">
    <cfRule type="colorScale" priority="22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25">
    <cfRule type="colorScale" priority="16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28">
    <cfRule type="colorScale" priority="13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31">
    <cfRule type="colorScale" priority="10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34">
    <cfRule type="colorScale" priority="7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37">
    <cfRule type="colorScale" priority="4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40">
    <cfRule type="colorScale" priority="19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E43">
    <cfRule type="colorScale" priority="1">
      <colorScale>
        <cfvo type="num" val="0"/>
        <cfvo type="num" val="1"/>
        <cfvo type="num" val="2"/>
        <color rgb="FFC00000"/>
        <color theme="7"/>
        <color theme="9"/>
      </colorScale>
    </cfRule>
  </conditionalFormatting>
  <conditionalFormatting sqref="G10">
    <cfRule type="colorScale" priority="33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13">
    <cfRule type="colorScale" priority="30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16">
    <cfRule type="colorScale" priority="27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19">
    <cfRule type="colorScale" priority="24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22">
    <cfRule type="colorScale" priority="21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25">
    <cfRule type="colorScale" priority="15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28">
    <cfRule type="colorScale" priority="12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31">
    <cfRule type="colorScale" priority="9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34">
    <cfRule type="colorScale" priority="6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37">
    <cfRule type="colorScale" priority="3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40">
    <cfRule type="colorScale" priority="18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10">
    <cfRule type="colorScale" priority="32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13">
    <cfRule type="colorScale" priority="29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16">
    <cfRule type="colorScale" priority="26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19">
    <cfRule type="colorScale" priority="23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22">
    <cfRule type="colorScale" priority="20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25">
    <cfRule type="colorScale" priority="14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28">
    <cfRule type="colorScale" priority="11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31">
    <cfRule type="colorScale" priority="8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34">
    <cfRule type="colorScale" priority="5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37">
    <cfRule type="colorScale" priority="2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40">
    <cfRule type="colorScale" priority="17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44"/>
  <sheetViews>
    <sheetView workbookViewId="0">
      <selection activeCell="Q41" sqref="Q41"/>
    </sheetView>
  </sheetViews>
  <sheetFormatPr baseColWidth="10" defaultColWidth="9.140625" defaultRowHeight="15"/>
  <cols>
    <col min="1" max="1" width="20.140625" style="1" customWidth="1"/>
    <col min="2" max="2" width="1" style="1" customWidth="1"/>
    <col min="3" max="3" width="3.7109375" style="1" customWidth="1"/>
    <col min="4" max="4" width="30.7109375" style="1" customWidth="1"/>
    <col min="5" max="5" width="3.7109375" style="1" customWidth="1"/>
    <col min="6" max="6" width="1" style="1" customWidth="1"/>
    <col min="7" max="7" width="3.7109375" style="1" customWidth="1"/>
    <col min="8" max="8" width="30.7109375" style="1" customWidth="1"/>
    <col min="9" max="9" width="3.7109375" style="1" customWidth="1"/>
    <col min="10" max="10" width="1" style="1" customWidth="1"/>
    <col min="11" max="11" width="3.7109375" style="1" customWidth="1"/>
    <col min="12" max="12" width="30.7109375" style="1" customWidth="1"/>
    <col min="13" max="13" width="3.7109375" style="1" customWidth="1"/>
    <col min="14" max="16384" width="9.140625" style="1"/>
  </cols>
  <sheetData>
    <row r="2" spans="1:13">
      <c r="A2" s="119" t="s">
        <v>644</v>
      </c>
      <c r="B2" s="119"/>
      <c r="C2" s="119"/>
      <c r="D2" s="119"/>
      <c r="E2" s="119"/>
      <c r="F2" s="119"/>
      <c r="G2" s="119"/>
      <c r="H2" s="1" t="s">
        <v>704</v>
      </c>
      <c r="I2" s="120" t="s">
        <v>645</v>
      </c>
      <c r="J2" s="120"/>
      <c r="K2" s="120"/>
      <c r="L2" s="120"/>
    </row>
    <row r="3" spans="1:13" ht="15.75" thickBot="1"/>
    <row r="4" spans="1:13" ht="18.75">
      <c r="A4" s="108" t="s">
        <v>0</v>
      </c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10"/>
    </row>
    <row r="5" spans="1:13" ht="18.75">
      <c r="A5" s="111" t="s">
        <v>1</v>
      </c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3"/>
    </row>
    <row r="6" spans="1:13" ht="19.5" thickBot="1">
      <c r="A6" s="114" t="s">
        <v>56</v>
      </c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6"/>
    </row>
    <row r="7" spans="1:13" ht="12" customHeight="1" thickBot="1">
      <c r="A7" s="102" t="s">
        <v>3</v>
      </c>
      <c r="B7" s="37"/>
      <c r="C7" s="38"/>
      <c r="D7" s="104" t="s">
        <v>5</v>
      </c>
      <c r="E7" s="39">
        <v>0</v>
      </c>
      <c r="F7" s="40"/>
      <c r="G7" s="41"/>
      <c r="H7" s="106" t="s">
        <v>6</v>
      </c>
      <c r="I7" s="95">
        <v>1</v>
      </c>
      <c r="J7" s="40"/>
      <c r="K7" s="41"/>
      <c r="L7" s="104" t="s">
        <v>7</v>
      </c>
      <c r="M7" s="43">
        <v>2</v>
      </c>
    </row>
    <row r="8" spans="1:13" ht="16.5" thickBot="1">
      <c r="A8" s="103"/>
      <c r="B8" s="44"/>
      <c r="C8" s="45"/>
      <c r="D8" s="105"/>
      <c r="E8" s="46"/>
      <c r="F8" s="47"/>
      <c r="G8" s="48"/>
      <c r="H8" s="107"/>
      <c r="I8" s="48"/>
      <c r="J8" s="47"/>
      <c r="K8" s="48"/>
      <c r="L8" s="105"/>
      <c r="M8" s="49"/>
    </row>
    <row r="9" spans="1:13" ht="6" customHeight="1" thickBot="1">
      <c r="A9" s="98" t="s">
        <v>152</v>
      </c>
      <c r="B9" s="15"/>
      <c r="C9" s="16"/>
      <c r="D9" s="17"/>
      <c r="E9" s="18"/>
      <c r="F9" s="19"/>
      <c r="G9" s="20"/>
      <c r="H9" s="21"/>
      <c r="I9" s="20"/>
      <c r="J9" s="19"/>
      <c r="K9" s="20"/>
      <c r="L9" s="17"/>
      <c r="M9" s="22"/>
    </row>
    <row r="10" spans="1:13" ht="13.5" customHeight="1" thickBot="1">
      <c r="A10" s="96"/>
      <c r="B10" s="23"/>
      <c r="C10" s="24">
        <v>0</v>
      </c>
      <c r="D10" s="117" t="s">
        <v>164</v>
      </c>
      <c r="E10" s="25"/>
      <c r="F10" s="23"/>
      <c r="G10" s="24"/>
      <c r="H10" s="117" t="s">
        <v>174</v>
      </c>
      <c r="J10" s="23"/>
      <c r="K10" s="24"/>
      <c r="L10" s="117" t="s">
        <v>176</v>
      </c>
      <c r="M10" s="25"/>
    </row>
    <row r="11" spans="1:13" ht="114.75" customHeight="1" thickBot="1">
      <c r="A11" s="97"/>
      <c r="B11" s="26"/>
      <c r="C11" s="27"/>
      <c r="D11" s="118"/>
      <c r="E11" s="28"/>
      <c r="F11" s="26"/>
      <c r="G11" s="27"/>
      <c r="H11" s="118"/>
      <c r="I11" s="27"/>
      <c r="J11" s="26"/>
      <c r="K11" s="27"/>
      <c r="L11" s="118"/>
      <c r="M11" s="28"/>
    </row>
    <row r="12" spans="1:13" ht="6" customHeight="1" thickBot="1">
      <c r="A12" s="98" t="s">
        <v>153</v>
      </c>
      <c r="B12" s="29"/>
      <c r="C12" s="30"/>
      <c r="D12" s="31"/>
      <c r="E12" s="32"/>
      <c r="F12" s="33"/>
      <c r="G12" s="34"/>
      <c r="H12" s="35"/>
      <c r="I12" s="32"/>
      <c r="J12" s="33"/>
      <c r="K12" s="34"/>
      <c r="L12" s="31"/>
      <c r="M12" s="25"/>
    </row>
    <row r="13" spans="1:13" ht="15.75" thickBot="1">
      <c r="A13" s="96"/>
      <c r="B13" s="23"/>
      <c r="C13" s="24">
        <v>0</v>
      </c>
      <c r="D13" s="117" t="s">
        <v>163</v>
      </c>
      <c r="E13" s="25"/>
      <c r="F13" s="23"/>
      <c r="G13" s="24"/>
      <c r="H13" s="117" t="s">
        <v>174</v>
      </c>
      <c r="I13" s="25"/>
      <c r="J13" s="23"/>
      <c r="K13" s="24"/>
      <c r="L13" s="117" t="s">
        <v>177</v>
      </c>
      <c r="M13" s="25"/>
    </row>
    <row r="14" spans="1:13" ht="123.75" customHeight="1" thickBot="1">
      <c r="A14" s="97"/>
      <c r="B14" s="23"/>
      <c r="D14" s="117"/>
      <c r="E14" s="25"/>
      <c r="F14" s="23"/>
      <c r="H14" s="117"/>
      <c r="I14" s="25"/>
      <c r="J14" s="23"/>
      <c r="L14" s="117"/>
      <c r="M14" s="25"/>
    </row>
    <row r="15" spans="1:13" ht="6" customHeight="1" thickBot="1">
      <c r="A15" s="99" t="s">
        <v>154</v>
      </c>
      <c r="B15" s="15"/>
      <c r="C15" s="16"/>
      <c r="D15" s="17"/>
      <c r="E15" s="18"/>
      <c r="F15" s="19"/>
      <c r="G15" s="20"/>
      <c r="H15" s="21"/>
      <c r="I15" s="18"/>
      <c r="J15" s="19"/>
      <c r="K15" s="20"/>
      <c r="L15" s="17"/>
      <c r="M15" s="22"/>
    </row>
    <row r="16" spans="1:13" ht="15.75" thickBot="1">
      <c r="A16" s="100"/>
      <c r="B16" s="23"/>
      <c r="C16" s="24"/>
      <c r="D16" s="117" t="s">
        <v>165</v>
      </c>
      <c r="E16" s="25"/>
      <c r="F16" s="23"/>
      <c r="G16" s="24">
        <v>1</v>
      </c>
      <c r="H16" s="117" t="s">
        <v>174</v>
      </c>
      <c r="I16" s="25"/>
      <c r="J16" s="23"/>
      <c r="K16" s="24"/>
      <c r="L16" s="117" t="s">
        <v>178</v>
      </c>
      <c r="M16" s="25"/>
    </row>
    <row r="17" spans="1:13" ht="119.25" customHeight="1" thickBot="1">
      <c r="A17" s="101"/>
      <c r="B17" s="26"/>
      <c r="C17" s="27"/>
      <c r="D17" s="118"/>
      <c r="E17" s="28"/>
      <c r="F17" s="26"/>
      <c r="G17" s="27"/>
      <c r="H17" s="118"/>
      <c r="I17" s="28"/>
      <c r="J17" s="26"/>
      <c r="K17" s="27"/>
      <c r="L17" s="118"/>
      <c r="M17" s="28"/>
    </row>
    <row r="18" spans="1:13" ht="6" customHeight="1" thickBot="1">
      <c r="A18" s="99" t="s">
        <v>155</v>
      </c>
      <c r="B18" s="15"/>
      <c r="C18" s="16"/>
      <c r="D18" s="17"/>
      <c r="E18" s="18"/>
      <c r="F18" s="19"/>
      <c r="G18" s="20"/>
      <c r="H18" s="21"/>
      <c r="I18" s="18"/>
      <c r="J18" s="19"/>
      <c r="K18" s="20"/>
      <c r="L18" s="17"/>
      <c r="M18" s="22"/>
    </row>
    <row r="19" spans="1:13" ht="15" customHeight="1" thickBot="1">
      <c r="A19" s="100"/>
      <c r="B19" s="23"/>
      <c r="C19" s="24"/>
      <c r="D19" s="117" t="s">
        <v>166</v>
      </c>
      <c r="E19" s="25"/>
      <c r="F19" s="23"/>
      <c r="G19" s="24">
        <v>1</v>
      </c>
      <c r="H19" s="117" t="s">
        <v>174</v>
      </c>
      <c r="I19" s="25"/>
      <c r="J19" s="23"/>
      <c r="K19" s="24"/>
      <c r="L19" s="117" t="s">
        <v>179</v>
      </c>
      <c r="M19" s="25"/>
    </row>
    <row r="20" spans="1:13" ht="124.5" customHeight="1" thickBot="1">
      <c r="A20" s="101"/>
      <c r="B20" s="26"/>
      <c r="C20" s="27"/>
      <c r="D20" s="118"/>
      <c r="E20" s="28"/>
      <c r="F20" s="26"/>
      <c r="G20" s="27"/>
      <c r="H20" s="118"/>
      <c r="I20" s="28"/>
      <c r="J20" s="26"/>
      <c r="K20" s="27"/>
      <c r="L20" s="118"/>
      <c r="M20" s="28"/>
    </row>
    <row r="21" spans="1:13" ht="6" customHeight="1" thickBot="1">
      <c r="A21" s="99" t="s">
        <v>156</v>
      </c>
      <c r="B21" s="15"/>
      <c r="C21" s="16"/>
      <c r="D21" s="17"/>
      <c r="E21" s="18"/>
      <c r="F21" s="19"/>
      <c r="G21" s="20"/>
      <c r="H21" s="21"/>
      <c r="I21" s="18"/>
      <c r="J21" s="19"/>
      <c r="K21" s="20"/>
      <c r="L21" s="17"/>
      <c r="M21" s="22"/>
    </row>
    <row r="22" spans="1:13" ht="15.75" thickBot="1">
      <c r="A22" s="100"/>
      <c r="B22" s="23"/>
      <c r="C22" s="24"/>
      <c r="D22" s="117" t="s">
        <v>167</v>
      </c>
      <c r="E22" s="25"/>
      <c r="F22" s="23"/>
      <c r="G22" s="24">
        <v>1</v>
      </c>
      <c r="H22" s="117" t="s">
        <v>174</v>
      </c>
      <c r="I22" s="25"/>
      <c r="J22" s="23"/>
      <c r="K22" s="24"/>
      <c r="L22" s="117" t="s">
        <v>180</v>
      </c>
      <c r="M22" s="25"/>
    </row>
    <row r="23" spans="1:13" ht="111.75" customHeight="1" thickBot="1">
      <c r="A23" s="101"/>
      <c r="B23" s="26"/>
      <c r="C23" s="27"/>
      <c r="D23" s="118"/>
      <c r="E23" s="28"/>
      <c r="F23" s="26"/>
      <c r="G23" s="27"/>
      <c r="H23" s="118"/>
      <c r="I23" s="28"/>
      <c r="J23" s="26"/>
      <c r="K23" s="27"/>
      <c r="L23" s="118"/>
      <c r="M23" s="28"/>
    </row>
    <row r="24" spans="1:13" ht="6" customHeight="1" thickBot="1">
      <c r="A24" s="99" t="s">
        <v>157</v>
      </c>
      <c r="B24" s="15"/>
      <c r="C24" s="16"/>
      <c r="D24" s="17"/>
      <c r="E24" s="18"/>
      <c r="F24" s="19"/>
      <c r="G24" s="20"/>
      <c r="H24" s="21"/>
      <c r="I24" s="18"/>
      <c r="J24" s="19"/>
      <c r="K24" s="20"/>
      <c r="L24" s="17"/>
      <c r="M24" s="22"/>
    </row>
    <row r="25" spans="1:13" ht="15.75" customHeight="1" thickBot="1">
      <c r="A25" s="100"/>
      <c r="B25" s="23"/>
      <c r="C25" s="24"/>
      <c r="D25" s="117" t="s">
        <v>168</v>
      </c>
      <c r="E25" s="25"/>
      <c r="F25" s="23"/>
      <c r="G25" s="24"/>
      <c r="H25" s="117" t="s">
        <v>174</v>
      </c>
      <c r="I25" s="25"/>
      <c r="J25" s="23"/>
      <c r="K25" s="24">
        <v>2</v>
      </c>
      <c r="L25" s="117" t="s">
        <v>181</v>
      </c>
      <c r="M25" s="25"/>
    </row>
    <row r="26" spans="1:13" ht="124.5" customHeight="1" thickBot="1">
      <c r="A26" s="101"/>
      <c r="B26" s="26"/>
      <c r="C26" s="27"/>
      <c r="D26" s="118"/>
      <c r="E26" s="28"/>
      <c r="F26" s="26"/>
      <c r="G26" s="27"/>
      <c r="H26" s="118"/>
      <c r="I26" s="28"/>
      <c r="J26" s="26"/>
      <c r="K26" s="27"/>
      <c r="L26" s="118"/>
      <c r="M26" s="28"/>
    </row>
    <row r="27" spans="1:13" ht="6" customHeight="1" thickBot="1">
      <c r="A27" s="99" t="s">
        <v>158</v>
      </c>
      <c r="B27" s="15"/>
      <c r="C27" s="16"/>
      <c r="D27" s="17"/>
      <c r="E27" s="18"/>
      <c r="F27" s="19"/>
      <c r="G27" s="20"/>
      <c r="H27" s="21"/>
      <c r="I27" s="18"/>
      <c r="J27" s="19"/>
      <c r="K27" s="20"/>
      <c r="L27" s="17"/>
      <c r="M27" s="22"/>
    </row>
    <row r="28" spans="1:13" ht="15" customHeight="1" thickBot="1">
      <c r="A28" s="100"/>
      <c r="B28" s="23"/>
      <c r="C28" s="24"/>
      <c r="D28" s="117" t="s">
        <v>169</v>
      </c>
      <c r="E28" s="25"/>
      <c r="F28" s="23"/>
      <c r="G28" s="24"/>
      <c r="H28" s="117" t="s">
        <v>174</v>
      </c>
      <c r="I28" s="25"/>
      <c r="J28" s="23"/>
      <c r="K28" s="24">
        <v>2</v>
      </c>
      <c r="L28" s="117" t="s">
        <v>182</v>
      </c>
      <c r="M28" s="25"/>
    </row>
    <row r="29" spans="1:13" ht="113.25" customHeight="1" thickBot="1">
      <c r="A29" s="101"/>
      <c r="B29" s="26"/>
      <c r="C29" s="27"/>
      <c r="D29" s="118"/>
      <c r="E29" s="28"/>
      <c r="F29" s="26"/>
      <c r="G29" s="27"/>
      <c r="H29" s="118"/>
      <c r="I29" s="28"/>
      <c r="J29" s="26"/>
      <c r="K29" s="27"/>
      <c r="L29" s="118"/>
      <c r="M29" s="28"/>
    </row>
    <row r="30" spans="1:13" ht="6" customHeight="1" thickBot="1">
      <c r="A30" s="99" t="s">
        <v>159</v>
      </c>
      <c r="B30" s="15"/>
      <c r="C30" s="16"/>
      <c r="D30" s="17"/>
      <c r="E30" s="18"/>
      <c r="F30" s="19"/>
      <c r="G30" s="20"/>
      <c r="H30" s="21"/>
      <c r="I30" s="18"/>
      <c r="J30" s="19"/>
      <c r="K30" s="20"/>
      <c r="L30" s="17"/>
      <c r="M30" s="22"/>
    </row>
    <row r="31" spans="1:13" ht="15" customHeight="1" thickBot="1">
      <c r="A31" s="100"/>
      <c r="B31" s="23"/>
      <c r="C31" s="24"/>
      <c r="D31" s="117" t="s">
        <v>170</v>
      </c>
      <c r="E31" s="25"/>
      <c r="F31" s="23"/>
      <c r="G31" s="24"/>
      <c r="H31" s="117" t="s">
        <v>174</v>
      </c>
      <c r="I31" s="25"/>
      <c r="J31" s="23"/>
      <c r="K31" s="24"/>
      <c r="L31" s="117" t="s">
        <v>183</v>
      </c>
      <c r="M31" s="25"/>
    </row>
    <row r="32" spans="1:13" ht="123.75" customHeight="1" thickBot="1">
      <c r="A32" s="101"/>
      <c r="B32" s="26"/>
      <c r="C32" s="27"/>
      <c r="D32" s="118"/>
      <c r="E32" s="28"/>
      <c r="F32" s="26"/>
      <c r="G32" s="27"/>
      <c r="H32" s="118"/>
      <c r="I32" s="28"/>
      <c r="J32" s="26"/>
      <c r="K32" s="27"/>
      <c r="L32" s="118"/>
      <c r="M32" s="28"/>
    </row>
    <row r="33" spans="1:13" ht="6" customHeight="1" thickBot="1">
      <c r="A33" s="99" t="s">
        <v>160</v>
      </c>
      <c r="B33" s="15"/>
      <c r="C33" s="16"/>
      <c r="D33" s="17"/>
      <c r="E33" s="18"/>
      <c r="F33" s="19"/>
      <c r="G33" s="20"/>
      <c r="H33" s="21"/>
      <c r="I33" s="18"/>
      <c r="J33" s="19"/>
      <c r="K33" s="20"/>
      <c r="L33" s="17"/>
      <c r="M33" s="22"/>
    </row>
    <row r="34" spans="1:13" ht="15" customHeight="1" thickBot="1">
      <c r="A34" s="100"/>
      <c r="B34" s="23"/>
      <c r="C34" s="24"/>
      <c r="D34" s="117" t="s">
        <v>171</v>
      </c>
      <c r="E34" s="25"/>
      <c r="F34" s="23"/>
      <c r="G34" s="24">
        <v>1</v>
      </c>
      <c r="H34" s="117" t="s">
        <v>174</v>
      </c>
      <c r="I34" s="25"/>
      <c r="J34" s="23"/>
      <c r="K34" s="24"/>
      <c r="L34" s="117" t="s">
        <v>184</v>
      </c>
      <c r="M34" s="25"/>
    </row>
    <row r="35" spans="1:13" ht="129" customHeight="1" thickBot="1">
      <c r="A35" s="101"/>
      <c r="B35" s="26"/>
      <c r="C35" s="27"/>
      <c r="D35" s="118"/>
      <c r="E35" s="28"/>
      <c r="F35" s="26"/>
      <c r="G35" s="27"/>
      <c r="H35" s="118"/>
      <c r="I35" s="28"/>
      <c r="J35" s="26"/>
      <c r="K35" s="27"/>
      <c r="L35" s="118"/>
      <c r="M35" s="28"/>
    </row>
    <row r="36" spans="1:13" ht="6" customHeight="1" thickBot="1">
      <c r="A36" s="99" t="s">
        <v>161</v>
      </c>
      <c r="B36" s="15"/>
      <c r="C36" s="16"/>
      <c r="D36" s="17"/>
      <c r="E36" s="18"/>
      <c r="F36" s="19"/>
      <c r="G36" s="20"/>
      <c r="H36" s="21"/>
      <c r="I36" s="18"/>
      <c r="J36" s="19"/>
      <c r="K36" s="20"/>
      <c r="L36" s="17"/>
      <c r="M36" s="22"/>
    </row>
    <row r="37" spans="1:13" ht="15" customHeight="1" thickBot="1">
      <c r="A37" s="100"/>
      <c r="B37" s="23"/>
      <c r="C37" s="24">
        <v>0</v>
      </c>
      <c r="D37" s="117" t="s">
        <v>172</v>
      </c>
      <c r="E37" s="25"/>
      <c r="F37" s="23"/>
      <c r="G37" s="24"/>
      <c r="H37" s="117" t="s">
        <v>175</v>
      </c>
      <c r="I37" s="25"/>
      <c r="J37" s="23"/>
      <c r="K37" s="24"/>
      <c r="L37" s="117" t="s">
        <v>185</v>
      </c>
      <c r="M37" s="25"/>
    </row>
    <row r="38" spans="1:13" ht="129" customHeight="1" thickBot="1">
      <c r="A38" s="101"/>
      <c r="B38" s="26"/>
      <c r="C38" s="27"/>
      <c r="D38" s="118"/>
      <c r="E38" s="28"/>
      <c r="F38" s="26"/>
      <c r="G38" s="27"/>
      <c r="H38" s="118"/>
      <c r="I38" s="28"/>
      <c r="J38" s="26"/>
      <c r="K38" s="27"/>
      <c r="L38" s="118"/>
      <c r="M38" s="28"/>
    </row>
    <row r="39" spans="1:13" ht="6" customHeight="1" thickBot="1">
      <c r="A39" s="99" t="s">
        <v>162</v>
      </c>
      <c r="B39" s="15"/>
      <c r="C39" s="16"/>
      <c r="D39" s="17"/>
      <c r="E39" s="18"/>
      <c r="F39" s="19"/>
      <c r="G39" s="20"/>
      <c r="H39" s="21"/>
      <c r="I39" s="18"/>
      <c r="J39" s="19"/>
      <c r="K39" s="20"/>
      <c r="L39" s="17"/>
      <c r="M39" s="22"/>
    </row>
    <row r="40" spans="1:13" ht="15.75" thickBot="1">
      <c r="A40" s="100"/>
      <c r="B40" s="23"/>
      <c r="C40" s="24"/>
      <c r="D40" s="117" t="s">
        <v>173</v>
      </c>
      <c r="E40" s="25"/>
      <c r="F40" s="23"/>
      <c r="G40" s="24"/>
      <c r="H40" s="117" t="s">
        <v>174</v>
      </c>
      <c r="I40" s="25"/>
      <c r="J40" s="23"/>
      <c r="K40" s="24">
        <v>2</v>
      </c>
      <c r="L40" s="117" t="s">
        <v>186</v>
      </c>
      <c r="M40" s="25"/>
    </row>
    <row r="41" spans="1:13" ht="125.25" customHeight="1" thickBot="1">
      <c r="A41" s="101"/>
      <c r="B41" s="26"/>
      <c r="C41" s="27"/>
      <c r="D41" s="118"/>
      <c r="E41" s="28"/>
      <c r="F41" s="26"/>
      <c r="G41" s="27"/>
      <c r="H41" s="118"/>
      <c r="I41" s="28"/>
      <c r="J41" s="26"/>
      <c r="K41" s="27"/>
      <c r="L41" s="118"/>
      <c r="M41" s="28"/>
    </row>
    <row r="42" spans="1:13" ht="15.75" thickBot="1">
      <c r="D42" s="50"/>
      <c r="E42" s="51"/>
      <c r="F42" s="51"/>
      <c r="G42" s="51"/>
      <c r="H42" s="51"/>
      <c r="I42" s="52"/>
    </row>
    <row r="43" spans="1:13" ht="15.75" thickBot="1">
      <c r="D43" s="53" t="s">
        <v>277</v>
      </c>
      <c r="E43" s="59">
        <f>AVERAGE(C10,G10,K10,C13,G13,K13,C16,G16,K16,C19,G19,K19,C25,G25,K25,C28,G28,K28,C31,G31,K31,C34,G34,K34,C37,G37,K37,C22,G22,K22,C40,G40,K40)</f>
        <v>1</v>
      </c>
      <c r="F43" s="54"/>
      <c r="G43" s="54"/>
      <c r="H43" s="54"/>
      <c r="I43" s="55"/>
    </row>
    <row r="44" spans="1:13" ht="15.75" thickBot="1">
      <c r="D44" s="56"/>
      <c r="E44" s="57"/>
      <c r="F44" s="57"/>
      <c r="G44" s="57"/>
      <c r="H44" s="57"/>
      <c r="I44" s="58"/>
    </row>
  </sheetData>
  <sheetProtection algorithmName="SHA-512" hashValue="0zEAhXZhfmM9O/8zXWUC02/Df6A+V9flXzKeLb7mKzv8xTM6OPMhuEGykCj7tlZ1CTD3VGAnRzysXBY+TvYleA==" saltValue="aGKiNyZiUFn8sN6i0whsgw==" spinCount="100000" sheet="1" objects="1" scenarios="1" selectLockedCells="1"/>
  <mergeCells count="53">
    <mergeCell ref="A2:G2"/>
    <mergeCell ref="I2:L2"/>
    <mergeCell ref="A4:M4"/>
    <mergeCell ref="A5:M5"/>
    <mergeCell ref="A6:M6"/>
    <mergeCell ref="A7:A8"/>
    <mergeCell ref="D7:D8"/>
    <mergeCell ref="H7:H8"/>
    <mergeCell ref="L7:L8"/>
    <mergeCell ref="A9:A11"/>
    <mergeCell ref="D10:D11"/>
    <mergeCell ref="H10:H11"/>
    <mergeCell ref="L10:L11"/>
    <mergeCell ref="A12:A14"/>
    <mergeCell ref="D13:D14"/>
    <mergeCell ref="H13:H14"/>
    <mergeCell ref="L13:L14"/>
    <mergeCell ref="A15:A17"/>
    <mergeCell ref="D16:D17"/>
    <mergeCell ref="H16:H17"/>
    <mergeCell ref="L16:L17"/>
    <mergeCell ref="A18:A20"/>
    <mergeCell ref="D19:D20"/>
    <mergeCell ref="H19:H20"/>
    <mergeCell ref="L19:L20"/>
    <mergeCell ref="A21:A23"/>
    <mergeCell ref="D22:D23"/>
    <mergeCell ref="H22:H23"/>
    <mergeCell ref="L22:L23"/>
    <mergeCell ref="A24:A26"/>
    <mergeCell ref="D25:D26"/>
    <mergeCell ref="H25:H26"/>
    <mergeCell ref="L25:L26"/>
    <mergeCell ref="A27:A29"/>
    <mergeCell ref="D28:D29"/>
    <mergeCell ref="H28:H29"/>
    <mergeCell ref="L28:L29"/>
    <mergeCell ref="A30:A32"/>
    <mergeCell ref="D31:D32"/>
    <mergeCell ref="H31:H32"/>
    <mergeCell ref="L31:L32"/>
    <mergeCell ref="A33:A35"/>
    <mergeCell ref="D34:D35"/>
    <mergeCell ref="H34:H35"/>
    <mergeCell ref="L34:L35"/>
    <mergeCell ref="A36:A38"/>
    <mergeCell ref="D37:D38"/>
    <mergeCell ref="H37:H38"/>
    <mergeCell ref="L37:L38"/>
    <mergeCell ref="A39:A41"/>
    <mergeCell ref="D40:D41"/>
    <mergeCell ref="H40:H41"/>
    <mergeCell ref="L40:L41"/>
  </mergeCells>
  <conditionalFormatting sqref="C10">
    <cfRule type="colorScale" priority="34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13">
    <cfRule type="colorScale" priority="31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16">
    <cfRule type="colorScale" priority="28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19">
    <cfRule type="colorScale" priority="25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22">
    <cfRule type="colorScale" priority="22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25">
    <cfRule type="colorScale" priority="16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28">
    <cfRule type="colorScale" priority="13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31">
    <cfRule type="colorScale" priority="10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34">
    <cfRule type="colorScale" priority="7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37">
    <cfRule type="colorScale" priority="4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40">
    <cfRule type="colorScale" priority="19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E43">
    <cfRule type="colorScale" priority="1">
      <colorScale>
        <cfvo type="num" val="0"/>
        <cfvo type="num" val="1"/>
        <cfvo type="num" val="2"/>
        <color rgb="FFC00000"/>
        <color theme="7"/>
        <color theme="9"/>
      </colorScale>
    </cfRule>
  </conditionalFormatting>
  <conditionalFormatting sqref="G10">
    <cfRule type="colorScale" priority="33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13">
    <cfRule type="colorScale" priority="30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16">
    <cfRule type="colorScale" priority="27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19">
    <cfRule type="colorScale" priority="24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22">
    <cfRule type="colorScale" priority="21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25">
    <cfRule type="colorScale" priority="15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28">
    <cfRule type="colorScale" priority="12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31">
    <cfRule type="colorScale" priority="9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34">
    <cfRule type="colorScale" priority="6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37">
    <cfRule type="colorScale" priority="3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40">
    <cfRule type="colorScale" priority="18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10">
    <cfRule type="colorScale" priority="32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13">
    <cfRule type="colorScale" priority="29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16">
    <cfRule type="colorScale" priority="26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19">
    <cfRule type="colorScale" priority="23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22">
    <cfRule type="colorScale" priority="20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25">
    <cfRule type="colorScale" priority="14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28">
    <cfRule type="colorScale" priority="11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31">
    <cfRule type="colorScale" priority="8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34">
    <cfRule type="colorScale" priority="5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37">
    <cfRule type="colorScale" priority="2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40">
    <cfRule type="colorScale" priority="17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6"/>
  <sheetViews>
    <sheetView topLeftCell="A16" workbookViewId="0">
      <selection activeCell="P22" sqref="P22"/>
    </sheetView>
  </sheetViews>
  <sheetFormatPr baseColWidth="10" defaultColWidth="9.140625" defaultRowHeight="15"/>
  <cols>
    <col min="1" max="1" width="20.140625" style="1" customWidth="1"/>
    <col min="2" max="2" width="1" style="1" customWidth="1"/>
    <col min="3" max="3" width="3.7109375" style="1" customWidth="1"/>
    <col min="4" max="4" width="30.7109375" style="1" customWidth="1"/>
    <col min="5" max="5" width="3.7109375" style="1" customWidth="1"/>
    <col min="6" max="6" width="1" style="1" customWidth="1"/>
    <col min="7" max="7" width="3.7109375" style="1" customWidth="1"/>
    <col min="8" max="8" width="30.7109375" style="1" customWidth="1"/>
    <col min="9" max="9" width="3.7109375" style="1" customWidth="1"/>
    <col min="10" max="10" width="1" style="1" customWidth="1"/>
    <col min="11" max="11" width="3.7109375" style="1" customWidth="1"/>
    <col min="12" max="12" width="30.7109375" style="1" customWidth="1"/>
    <col min="13" max="13" width="3.7109375" style="1" customWidth="1"/>
    <col min="14" max="16384" width="9.140625" style="1"/>
  </cols>
  <sheetData>
    <row r="2" spans="1:13">
      <c r="A2" s="119" t="s">
        <v>644</v>
      </c>
      <c r="B2" s="119"/>
      <c r="C2" s="119"/>
      <c r="D2" s="119"/>
      <c r="E2" s="119"/>
      <c r="F2" s="119"/>
      <c r="G2" s="119"/>
      <c r="H2" s="1" t="s">
        <v>704</v>
      </c>
      <c r="I2" s="120" t="s">
        <v>645</v>
      </c>
      <c r="J2" s="120"/>
      <c r="K2" s="120"/>
      <c r="L2" s="120"/>
    </row>
    <row r="3" spans="1:13" ht="15.75" thickBot="1"/>
    <row r="4" spans="1:13" ht="18.75">
      <c r="A4" s="108" t="s">
        <v>0</v>
      </c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10"/>
    </row>
    <row r="5" spans="1:13" ht="18.75">
      <c r="A5" s="111" t="s">
        <v>1</v>
      </c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3"/>
    </row>
    <row r="6" spans="1:13" ht="19.5" thickBot="1">
      <c r="A6" s="114" t="s">
        <v>57</v>
      </c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6"/>
    </row>
    <row r="7" spans="1:13" ht="12" customHeight="1" thickBot="1">
      <c r="A7" s="102" t="s">
        <v>3</v>
      </c>
      <c r="B7" s="37"/>
      <c r="C7" s="38"/>
      <c r="D7" s="104" t="s">
        <v>5</v>
      </c>
      <c r="E7" s="39">
        <v>0</v>
      </c>
      <c r="F7" s="40"/>
      <c r="G7" s="41"/>
      <c r="H7" s="106" t="s">
        <v>6</v>
      </c>
      <c r="I7" s="95">
        <v>1</v>
      </c>
      <c r="J7" s="40"/>
      <c r="K7" s="41"/>
      <c r="L7" s="104" t="s">
        <v>7</v>
      </c>
      <c r="M7" s="43">
        <v>2</v>
      </c>
    </row>
    <row r="8" spans="1:13" ht="16.5" thickBot="1">
      <c r="A8" s="103"/>
      <c r="B8" s="44"/>
      <c r="C8" s="45"/>
      <c r="D8" s="105"/>
      <c r="E8" s="46"/>
      <c r="F8" s="47"/>
      <c r="G8" s="48"/>
      <c r="H8" s="107"/>
      <c r="I8" s="48"/>
      <c r="J8" s="47"/>
      <c r="K8" s="48"/>
      <c r="L8" s="105"/>
      <c r="M8" s="49"/>
    </row>
    <row r="9" spans="1:13" ht="6" customHeight="1" thickBot="1">
      <c r="A9" s="98" t="s">
        <v>187</v>
      </c>
      <c r="B9" s="15"/>
      <c r="C9" s="16"/>
      <c r="D9" s="17"/>
      <c r="E9" s="18"/>
      <c r="F9" s="19"/>
      <c r="G9" s="20"/>
      <c r="H9" s="21"/>
      <c r="I9" s="20"/>
      <c r="J9" s="19"/>
      <c r="K9" s="20"/>
      <c r="L9" s="17"/>
      <c r="M9" s="22"/>
    </row>
    <row r="10" spans="1:13" ht="13.5" customHeight="1" thickBot="1">
      <c r="A10" s="96"/>
      <c r="B10" s="23"/>
      <c r="C10" s="24"/>
      <c r="D10" s="117" t="s">
        <v>192</v>
      </c>
      <c r="E10" s="25"/>
      <c r="F10" s="23"/>
      <c r="G10" s="24"/>
      <c r="H10" s="117" t="s">
        <v>197</v>
      </c>
      <c r="J10" s="23"/>
      <c r="K10" s="24">
        <v>2</v>
      </c>
      <c r="L10" s="117" t="s">
        <v>199</v>
      </c>
      <c r="M10" s="25"/>
    </row>
    <row r="11" spans="1:13" ht="68.25" customHeight="1" thickBot="1">
      <c r="A11" s="97"/>
      <c r="B11" s="26"/>
      <c r="C11" s="27"/>
      <c r="D11" s="118"/>
      <c r="E11" s="28"/>
      <c r="F11" s="26"/>
      <c r="G11" s="27"/>
      <c r="H11" s="118"/>
      <c r="I11" s="27"/>
      <c r="J11" s="26"/>
      <c r="K11" s="27"/>
      <c r="L11" s="118"/>
      <c r="M11" s="28"/>
    </row>
    <row r="12" spans="1:13" ht="6" customHeight="1" thickBot="1">
      <c r="A12" s="98" t="s">
        <v>188</v>
      </c>
      <c r="B12" s="29"/>
      <c r="C12" s="30"/>
      <c r="D12" s="31"/>
      <c r="E12" s="32"/>
      <c r="F12" s="33"/>
      <c r="G12" s="34"/>
      <c r="H12" s="35"/>
      <c r="I12" s="32"/>
      <c r="J12" s="33"/>
      <c r="K12" s="34"/>
      <c r="L12" s="31"/>
      <c r="M12" s="25"/>
    </row>
    <row r="13" spans="1:13" ht="15.75" thickBot="1">
      <c r="A13" s="96"/>
      <c r="B13" s="23"/>
      <c r="C13" s="24"/>
      <c r="D13" s="117" t="s">
        <v>193</v>
      </c>
      <c r="E13" s="25"/>
      <c r="F13" s="23"/>
      <c r="G13" s="24"/>
      <c r="H13" s="117" t="s">
        <v>198</v>
      </c>
      <c r="I13" s="25"/>
      <c r="J13" s="23"/>
      <c r="K13" s="24">
        <v>2</v>
      </c>
      <c r="L13" s="117" t="s">
        <v>200</v>
      </c>
      <c r="M13" s="25"/>
    </row>
    <row r="14" spans="1:13" ht="45" customHeight="1" thickBot="1">
      <c r="A14" s="97"/>
      <c r="B14" s="23"/>
      <c r="D14" s="117"/>
      <c r="E14" s="25"/>
      <c r="F14" s="23"/>
      <c r="H14" s="117"/>
      <c r="I14" s="25"/>
      <c r="J14" s="23"/>
      <c r="L14" s="117"/>
      <c r="M14" s="25"/>
    </row>
    <row r="15" spans="1:13" ht="6" customHeight="1" thickBot="1">
      <c r="A15" s="99" t="s">
        <v>189</v>
      </c>
      <c r="B15" s="15"/>
      <c r="C15" s="16"/>
      <c r="D15" s="17"/>
      <c r="E15" s="18"/>
      <c r="F15" s="19"/>
      <c r="G15" s="20"/>
      <c r="H15" s="21"/>
      <c r="I15" s="18"/>
      <c r="J15" s="19"/>
      <c r="K15" s="20"/>
      <c r="L15" s="17"/>
      <c r="M15" s="22"/>
    </row>
    <row r="16" spans="1:13" ht="15.75" thickBot="1">
      <c r="A16" s="100"/>
      <c r="B16" s="23"/>
      <c r="C16" s="24"/>
      <c r="D16" s="117" t="s">
        <v>194</v>
      </c>
      <c r="E16" s="25"/>
      <c r="F16" s="23"/>
      <c r="G16" s="24">
        <v>1</v>
      </c>
      <c r="H16" s="117" t="s">
        <v>201</v>
      </c>
      <c r="I16" s="25"/>
      <c r="J16" s="23"/>
      <c r="K16" s="24"/>
      <c r="L16" s="117" t="s">
        <v>202</v>
      </c>
      <c r="M16" s="25"/>
    </row>
    <row r="17" spans="1:13" ht="48.75" customHeight="1" thickBot="1">
      <c r="A17" s="101"/>
      <c r="B17" s="26"/>
      <c r="C17" s="27"/>
      <c r="D17" s="118"/>
      <c r="E17" s="28"/>
      <c r="F17" s="26"/>
      <c r="G17" s="27"/>
      <c r="H17" s="118"/>
      <c r="I17" s="28"/>
      <c r="J17" s="26"/>
      <c r="K17" s="27"/>
      <c r="L17" s="118"/>
      <c r="M17" s="28"/>
    </row>
    <row r="18" spans="1:13" ht="6" customHeight="1" thickBot="1">
      <c r="A18" s="98" t="s">
        <v>190</v>
      </c>
      <c r="B18" s="15"/>
      <c r="C18" s="16"/>
      <c r="D18" s="17"/>
      <c r="E18" s="18"/>
      <c r="F18" s="19"/>
      <c r="G18" s="20"/>
      <c r="H18" s="21"/>
      <c r="I18" s="18"/>
      <c r="J18" s="19"/>
      <c r="K18" s="20"/>
      <c r="L18" s="17"/>
      <c r="M18" s="22"/>
    </row>
    <row r="19" spans="1:13" ht="15" customHeight="1" thickBot="1">
      <c r="A19" s="96"/>
      <c r="B19" s="23"/>
      <c r="C19" s="24"/>
      <c r="D19" s="117" t="s">
        <v>195</v>
      </c>
      <c r="E19" s="25"/>
      <c r="F19" s="23"/>
      <c r="G19" s="24">
        <v>1</v>
      </c>
      <c r="H19" s="117" t="s">
        <v>203</v>
      </c>
      <c r="I19" s="25"/>
      <c r="J19" s="23"/>
      <c r="K19" s="24"/>
      <c r="L19" s="117" t="s">
        <v>204</v>
      </c>
      <c r="M19" s="25"/>
    </row>
    <row r="20" spans="1:13" ht="52.5" customHeight="1" thickBot="1">
      <c r="A20" s="97"/>
      <c r="B20" s="26"/>
      <c r="C20" s="27"/>
      <c r="D20" s="118"/>
      <c r="E20" s="28"/>
      <c r="F20" s="26"/>
      <c r="G20" s="27"/>
      <c r="H20" s="118"/>
      <c r="I20" s="28"/>
      <c r="J20" s="26"/>
      <c r="K20" s="27"/>
      <c r="L20" s="118"/>
      <c r="M20" s="28"/>
    </row>
    <row r="21" spans="1:13" ht="6" customHeight="1" thickBot="1">
      <c r="A21" s="99" t="s">
        <v>191</v>
      </c>
      <c r="B21" s="15"/>
      <c r="C21" s="16"/>
      <c r="D21" s="17"/>
      <c r="E21" s="18"/>
      <c r="F21" s="19"/>
      <c r="G21" s="20"/>
      <c r="H21" s="21"/>
      <c r="I21" s="18"/>
      <c r="J21" s="19"/>
      <c r="K21" s="20"/>
      <c r="L21" s="17"/>
      <c r="M21" s="22"/>
    </row>
    <row r="22" spans="1:13" ht="15.75" thickBot="1">
      <c r="A22" s="100"/>
      <c r="B22" s="23"/>
      <c r="C22" s="24"/>
      <c r="D22" s="117" t="s">
        <v>196</v>
      </c>
      <c r="E22" s="25"/>
      <c r="F22" s="23"/>
      <c r="G22" s="24"/>
      <c r="H22" s="117" t="s">
        <v>205</v>
      </c>
      <c r="I22" s="25"/>
      <c r="J22" s="23"/>
      <c r="K22" s="24">
        <v>2</v>
      </c>
      <c r="L22" s="117" t="s">
        <v>206</v>
      </c>
      <c r="M22" s="25"/>
    </row>
    <row r="23" spans="1:13" ht="48" customHeight="1" thickBot="1">
      <c r="A23" s="101"/>
      <c r="B23" s="26"/>
      <c r="C23" s="27"/>
      <c r="D23" s="118"/>
      <c r="E23" s="28"/>
      <c r="F23" s="26"/>
      <c r="G23" s="27"/>
      <c r="H23" s="118"/>
      <c r="I23" s="28"/>
      <c r="J23" s="26"/>
      <c r="K23" s="27"/>
      <c r="L23" s="118"/>
      <c r="M23" s="28"/>
    </row>
    <row r="24" spans="1:13" ht="15.75" thickBot="1">
      <c r="D24" s="50"/>
      <c r="E24" s="51"/>
      <c r="F24" s="51"/>
      <c r="G24" s="51"/>
      <c r="H24" s="51"/>
      <c r="I24" s="52"/>
    </row>
    <row r="25" spans="1:13" ht="15.75" thickBot="1">
      <c r="D25" s="53" t="s">
        <v>278</v>
      </c>
      <c r="E25" s="59">
        <f>AVERAGE(C10,G10,K10,C13,G13,K13,C16,G16,K16,C19,G19,K19,C22,G22,K22)</f>
        <v>1.6</v>
      </c>
      <c r="F25" s="54"/>
      <c r="G25" s="54"/>
      <c r="H25" s="54"/>
      <c r="I25" s="55"/>
    </row>
    <row r="26" spans="1:13" ht="15.75" thickBot="1">
      <c r="D26" s="56"/>
      <c r="E26" s="57"/>
      <c r="F26" s="57"/>
      <c r="G26" s="57"/>
      <c r="H26" s="57"/>
      <c r="I26" s="58"/>
    </row>
  </sheetData>
  <sheetProtection algorithmName="SHA-512" hashValue="di9bn6dBLBB6P1ZQKaNpdiGu2bXAwIIiQhILbvIAS6DAS/BJaxKXlqhCmR9WhbDlL7eXTa+dnQc/PwqGDIo9bg==" saltValue="MGbj62hJBoEC6IznRhDwog==" spinCount="100000" sheet="1" objects="1" scenarios="1" selectLockedCells="1"/>
  <mergeCells count="29">
    <mergeCell ref="A2:G2"/>
    <mergeCell ref="I2:L2"/>
    <mergeCell ref="A4:M4"/>
    <mergeCell ref="A5:M5"/>
    <mergeCell ref="A6:M6"/>
    <mergeCell ref="A7:A8"/>
    <mergeCell ref="D7:D8"/>
    <mergeCell ref="H7:H8"/>
    <mergeCell ref="L7:L8"/>
    <mergeCell ref="A9:A11"/>
    <mergeCell ref="D10:D11"/>
    <mergeCell ref="H10:H11"/>
    <mergeCell ref="L10:L11"/>
    <mergeCell ref="A12:A14"/>
    <mergeCell ref="D13:D14"/>
    <mergeCell ref="H13:H14"/>
    <mergeCell ref="L13:L14"/>
    <mergeCell ref="A15:A17"/>
    <mergeCell ref="D16:D17"/>
    <mergeCell ref="H16:H17"/>
    <mergeCell ref="L16:L17"/>
    <mergeCell ref="A18:A20"/>
    <mergeCell ref="D19:D20"/>
    <mergeCell ref="H19:H20"/>
    <mergeCell ref="L19:L20"/>
    <mergeCell ref="A21:A23"/>
    <mergeCell ref="D22:D23"/>
    <mergeCell ref="H22:H23"/>
    <mergeCell ref="L22:L23"/>
  </mergeCells>
  <conditionalFormatting sqref="C10">
    <cfRule type="colorScale" priority="34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13">
    <cfRule type="colorScale" priority="31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16">
    <cfRule type="colorScale" priority="28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19">
    <cfRule type="colorScale" priority="25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22">
    <cfRule type="colorScale" priority="22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E25">
    <cfRule type="colorScale" priority="1">
      <colorScale>
        <cfvo type="num" val="0"/>
        <cfvo type="num" val="1"/>
        <cfvo type="num" val="2"/>
        <color rgb="FFC00000"/>
        <color theme="7"/>
        <color theme="9"/>
      </colorScale>
    </cfRule>
  </conditionalFormatting>
  <conditionalFormatting sqref="G10">
    <cfRule type="colorScale" priority="33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13">
    <cfRule type="colorScale" priority="30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16">
    <cfRule type="colorScale" priority="27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19">
    <cfRule type="colorScale" priority="24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22">
    <cfRule type="colorScale" priority="21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10">
    <cfRule type="colorScale" priority="32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13">
    <cfRule type="colorScale" priority="29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16">
    <cfRule type="colorScale" priority="26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19">
    <cfRule type="colorScale" priority="23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22">
    <cfRule type="colorScale" priority="20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32"/>
  <sheetViews>
    <sheetView workbookViewId="0">
      <selection activeCell="Q26" sqref="Q26"/>
    </sheetView>
  </sheetViews>
  <sheetFormatPr baseColWidth="10" defaultColWidth="9.140625" defaultRowHeight="15"/>
  <cols>
    <col min="1" max="1" width="20.140625" style="1" customWidth="1"/>
    <col min="2" max="2" width="1" style="1" customWidth="1"/>
    <col min="3" max="3" width="3.7109375" style="1" customWidth="1"/>
    <col min="4" max="4" width="30.7109375" style="1" customWidth="1"/>
    <col min="5" max="5" width="3.7109375" style="1" customWidth="1"/>
    <col min="6" max="6" width="1" style="1" customWidth="1"/>
    <col min="7" max="7" width="3.7109375" style="1" customWidth="1"/>
    <col min="8" max="8" width="30.7109375" style="1" customWidth="1"/>
    <col min="9" max="9" width="3.7109375" style="1" customWidth="1"/>
    <col min="10" max="10" width="1" style="1" customWidth="1"/>
    <col min="11" max="11" width="3.7109375" style="1" customWidth="1"/>
    <col min="12" max="12" width="30.7109375" style="1" customWidth="1"/>
    <col min="13" max="13" width="3.7109375" style="1" customWidth="1"/>
    <col min="14" max="16384" width="9.140625" style="1"/>
  </cols>
  <sheetData>
    <row r="2" spans="1:13">
      <c r="A2" s="119" t="s">
        <v>644</v>
      </c>
      <c r="B2" s="119"/>
      <c r="C2" s="119"/>
      <c r="D2" s="119"/>
      <c r="E2" s="119"/>
      <c r="F2" s="119"/>
      <c r="G2" s="119"/>
      <c r="H2" s="1" t="s">
        <v>704</v>
      </c>
      <c r="I2" s="120" t="s">
        <v>645</v>
      </c>
      <c r="J2" s="120"/>
      <c r="K2" s="120"/>
      <c r="L2" s="120"/>
    </row>
    <row r="3" spans="1:13" ht="15.75" thickBot="1"/>
    <row r="4" spans="1:13" ht="18.75">
      <c r="A4" s="121" t="s">
        <v>0</v>
      </c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3"/>
    </row>
    <row r="5" spans="1:13" ht="18.75">
      <c r="A5" s="124" t="s">
        <v>58</v>
      </c>
      <c r="B5" s="125"/>
      <c r="C5" s="125"/>
      <c r="D5" s="125"/>
      <c r="E5" s="125"/>
      <c r="F5" s="125"/>
      <c r="G5" s="125"/>
      <c r="H5" s="125"/>
      <c r="I5" s="125"/>
      <c r="J5" s="125"/>
      <c r="K5" s="125"/>
      <c r="L5" s="125"/>
      <c r="M5" s="126"/>
    </row>
    <row r="6" spans="1:13" ht="19.5" thickBot="1">
      <c r="A6" s="127" t="s">
        <v>59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9"/>
    </row>
    <row r="7" spans="1:13" ht="12" customHeight="1" thickBot="1">
      <c r="A7" s="102" t="s">
        <v>3</v>
      </c>
      <c r="B7" s="37"/>
      <c r="C7" s="38"/>
      <c r="D7" s="104" t="s">
        <v>5</v>
      </c>
      <c r="E7" s="39">
        <v>0</v>
      </c>
      <c r="F7" s="40"/>
      <c r="G7" s="41"/>
      <c r="H7" s="106" t="s">
        <v>6</v>
      </c>
      <c r="I7" s="95">
        <v>1</v>
      </c>
      <c r="J7" s="40"/>
      <c r="K7" s="41"/>
      <c r="L7" s="104" t="s">
        <v>7</v>
      </c>
      <c r="M7" s="43">
        <v>2</v>
      </c>
    </row>
    <row r="8" spans="1:13" ht="16.5" thickBot="1">
      <c r="A8" s="103"/>
      <c r="B8" s="44"/>
      <c r="C8" s="45"/>
      <c r="D8" s="105"/>
      <c r="E8" s="46"/>
      <c r="F8" s="47"/>
      <c r="G8" s="48"/>
      <c r="H8" s="107"/>
      <c r="I8" s="48"/>
      <c r="J8" s="47"/>
      <c r="K8" s="48"/>
      <c r="L8" s="105"/>
      <c r="M8" s="49"/>
    </row>
    <row r="9" spans="1:13" ht="6" customHeight="1" thickBot="1">
      <c r="A9" s="98" t="s">
        <v>207</v>
      </c>
      <c r="B9" s="15"/>
      <c r="C9" s="16"/>
      <c r="D9" s="17"/>
      <c r="E9" s="18"/>
      <c r="F9" s="19"/>
      <c r="G9" s="20"/>
      <c r="H9" s="21"/>
      <c r="I9" s="20"/>
      <c r="J9" s="19"/>
      <c r="K9" s="20"/>
      <c r="L9" s="17"/>
      <c r="M9" s="22"/>
    </row>
    <row r="10" spans="1:13" ht="13.5" customHeight="1" thickBot="1">
      <c r="A10" s="96"/>
      <c r="B10" s="23"/>
      <c r="C10" s="24"/>
      <c r="D10" s="117" t="s">
        <v>212</v>
      </c>
      <c r="E10" s="25"/>
      <c r="F10" s="23"/>
      <c r="G10" s="24">
        <v>1</v>
      </c>
      <c r="H10" s="117" t="s">
        <v>217</v>
      </c>
      <c r="J10" s="23"/>
      <c r="K10" s="24"/>
      <c r="L10" s="117" t="s">
        <v>222</v>
      </c>
      <c r="M10" s="25"/>
    </row>
    <row r="11" spans="1:13" ht="36" customHeight="1" thickBot="1">
      <c r="A11" s="97"/>
      <c r="B11" s="26"/>
      <c r="C11" s="27"/>
      <c r="D11" s="118"/>
      <c r="E11" s="28"/>
      <c r="F11" s="26"/>
      <c r="G11" s="27"/>
      <c r="H11" s="118"/>
      <c r="I11" s="27"/>
      <c r="J11" s="26"/>
      <c r="K11" s="27"/>
      <c r="L11" s="118"/>
      <c r="M11" s="28"/>
    </row>
    <row r="12" spans="1:13" ht="6" customHeight="1" thickBot="1">
      <c r="A12" s="98" t="s">
        <v>208</v>
      </c>
      <c r="B12" s="29"/>
      <c r="C12" s="30"/>
      <c r="D12" s="31"/>
      <c r="E12" s="32"/>
      <c r="F12" s="33"/>
      <c r="G12" s="34"/>
      <c r="H12" s="35"/>
      <c r="I12" s="32"/>
      <c r="J12" s="33"/>
      <c r="K12" s="34"/>
      <c r="L12" s="31"/>
      <c r="M12" s="25"/>
    </row>
    <row r="13" spans="1:13" ht="15.75" thickBot="1">
      <c r="A13" s="96"/>
      <c r="B13" s="23"/>
      <c r="C13" s="24"/>
      <c r="D13" s="117" t="s">
        <v>213</v>
      </c>
      <c r="E13" s="25"/>
      <c r="F13" s="23"/>
      <c r="G13" s="24">
        <v>1</v>
      </c>
      <c r="H13" s="117" t="s">
        <v>218</v>
      </c>
      <c r="I13" s="25"/>
      <c r="J13" s="23"/>
      <c r="K13" s="24"/>
      <c r="L13" s="117" t="s">
        <v>223</v>
      </c>
      <c r="M13" s="25"/>
    </row>
    <row r="14" spans="1:13" ht="45" customHeight="1" thickBot="1">
      <c r="A14" s="97"/>
      <c r="B14" s="23"/>
      <c r="D14" s="117"/>
      <c r="E14" s="25"/>
      <c r="F14" s="23"/>
      <c r="H14" s="117"/>
      <c r="I14" s="25"/>
      <c r="J14" s="23"/>
      <c r="L14" s="117"/>
      <c r="M14" s="25"/>
    </row>
    <row r="15" spans="1:13" ht="6" customHeight="1" thickBot="1">
      <c r="A15" s="99" t="s">
        <v>209</v>
      </c>
      <c r="B15" s="15"/>
      <c r="C15" s="16"/>
      <c r="D15" s="17"/>
      <c r="E15" s="18"/>
      <c r="F15" s="19"/>
      <c r="G15" s="20"/>
      <c r="H15" s="21"/>
      <c r="I15" s="18"/>
      <c r="J15" s="19"/>
      <c r="K15" s="20"/>
      <c r="L15" s="17"/>
      <c r="M15" s="22"/>
    </row>
    <row r="16" spans="1:13" ht="15.75" thickBot="1">
      <c r="A16" s="100"/>
      <c r="B16" s="23"/>
      <c r="C16" s="24"/>
      <c r="D16" s="117" t="s">
        <v>214</v>
      </c>
      <c r="E16" s="25"/>
      <c r="F16" s="23"/>
      <c r="G16" s="24">
        <v>1</v>
      </c>
      <c r="H16" s="117" t="s">
        <v>219</v>
      </c>
      <c r="I16" s="25"/>
      <c r="J16" s="23"/>
      <c r="K16" s="24"/>
      <c r="L16" s="117" t="s">
        <v>226</v>
      </c>
      <c r="M16" s="25"/>
    </row>
    <row r="17" spans="1:13" ht="49.5" customHeight="1" thickBot="1">
      <c r="A17" s="101"/>
      <c r="B17" s="26"/>
      <c r="C17" s="27"/>
      <c r="D17" s="118"/>
      <c r="E17" s="28"/>
      <c r="F17" s="26"/>
      <c r="G17" s="27"/>
      <c r="H17" s="118"/>
      <c r="I17" s="28"/>
      <c r="J17" s="26"/>
      <c r="K17" s="27"/>
      <c r="L17" s="118"/>
      <c r="M17" s="28"/>
    </row>
    <row r="18" spans="1:13" ht="6" customHeight="1" thickBot="1">
      <c r="A18" s="98" t="s">
        <v>210</v>
      </c>
      <c r="B18" s="15"/>
      <c r="C18" s="16"/>
      <c r="D18" s="17"/>
      <c r="E18" s="18"/>
      <c r="F18" s="19"/>
      <c r="G18" s="20"/>
      <c r="H18" s="21"/>
      <c r="I18" s="18"/>
      <c r="J18" s="19"/>
      <c r="K18" s="20"/>
      <c r="L18" s="17"/>
      <c r="M18" s="22"/>
    </row>
    <row r="19" spans="1:13" ht="15" customHeight="1" thickBot="1">
      <c r="A19" s="96"/>
      <c r="B19" s="23"/>
      <c r="C19" s="24"/>
      <c r="D19" s="117" t="s">
        <v>215</v>
      </c>
      <c r="E19" s="25"/>
      <c r="F19" s="23"/>
      <c r="G19" s="24">
        <v>1</v>
      </c>
      <c r="H19" s="117" t="s">
        <v>220</v>
      </c>
      <c r="I19" s="25"/>
      <c r="J19" s="23"/>
      <c r="K19" s="24">
        <v>2</v>
      </c>
      <c r="L19" s="117" t="s">
        <v>224</v>
      </c>
      <c r="M19" s="25"/>
    </row>
    <row r="20" spans="1:13" ht="75.75" customHeight="1" thickBot="1">
      <c r="A20" s="97"/>
      <c r="B20" s="26"/>
      <c r="C20" s="27"/>
      <c r="D20" s="118"/>
      <c r="E20" s="28"/>
      <c r="F20" s="26"/>
      <c r="G20" s="27"/>
      <c r="H20" s="118"/>
      <c r="I20" s="28"/>
      <c r="J20" s="26"/>
      <c r="K20" s="27"/>
      <c r="L20" s="118"/>
      <c r="M20" s="28"/>
    </row>
    <row r="21" spans="1:13" ht="6" customHeight="1" thickBot="1">
      <c r="A21" s="99" t="s">
        <v>211</v>
      </c>
      <c r="B21" s="15"/>
      <c r="C21" s="16"/>
      <c r="D21" s="17"/>
      <c r="E21" s="18"/>
      <c r="F21" s="19"/>
      <c r="G21" s="20"/>
      <c r="H21" s="21"/>
      <c r="I21" s="18"/>
      <c r="J21" s="19"/>
      <c r="K21" s="20"/>
      <c r="L21" s="17"/>
      <c r="M21" s="22"/>
    </row>
    <row r="22" spans="1:13" ht="15.75" thickBot="1">
      <c r="A22" s="100"/>
      <c r="B22" s="23"/>
      <c r="C22" s="24"/>
      <c r="D22" s="117" t="s">
        <v>216</v>
      </c>
      <c r="E22" s="25"/>
      <c r="F22" s="23"/>
      <c r="G22" s="24"/>
      <c r="H22" s="117" t="s">
        <v>221</v>
      </c>
      <c r="I22" s="25"/>
      <c r="J22" s="23"/>
      <c r="K22" s="24">
        <v>2</v>
      </c>
      <c r="L22" s="117" t="s">
        <v>225</v>
      </c>
      <c r="M22" s="25"/>
    </row>
    <row r="23" spans="1:13" ht="51.75" customHeight="1" thickBot="1">
      <c r="A23" s="101"/>
      <c r="B23" s="26"/>
      <c r="C23" s="27"/>
      <c r="D23" s="118"/>
      <c r="E23" s="28"/>
      <c r="F23" s="26"/>
      <c r="G23" s="27"/>
      <c r="H23" s="118"/>
      <c r="I23" s="28"/>
      <c r="J23" s="26"/>
      <c r="K23" s="27"/>
      <c r="L23" s="118"/>
      <c r="M23" s="28"/>
    </row>
    <row r="24" spans="1:13" ht="6" customHeight="1" thickBot="1">
      <c r="A24" s="99" t="s">
        <v>227</v>
      </c>
      <c r="B24" s="15"/>
      <c r="C24" s="16"/>
      <c r="D24" s="17"/>
      <c r="E24" s="18"/>
      <c r="F24" s="19"/>
      <c r="G24" s="20"/>
      <c r="H24" s="21"/>
      <c r="I24" s="18"/>
      <c r="J24" s="19"/>
      <c r="K24" s="20"/>
      <c r="L24" s="17"/>
      <c r="M24" s="22"/>
    </row>
    <row r="25" spans="1:13" ht="15.75" customHeight="1" thickBot="1">
      <c r="A25" s="100"/>
      <c r="B25" s="23"/>
      <c r="C25" s="24"/>
      <c r="D25" s="117" t="s">
        <v>228</v>
      </c>
      <c r="E25" s="25"/>
      <c r="F25" s="23"/>
      <c r="G25" s="24"/>
      <c r="H25" s="117" t="s">
        <v>231</v>
      </c>
      <c r="I25" s="25"/>
      <c r="J25" s="23"/>
      <c r="K25" s="24">
        <v>2</v>
      </c>
      <c r="L25" s="117" t="s">
        <v>233</v>
      </c>
      <c r="M25" s="25"/>
    </row>
    <row r="26" spans="1:13" ht="49.5" customHeight="1" thickBot="1">
      <c r="A26" s="101"/>
      <c r="B26" s="26"/>
      <c r="C26" s="27"/>
      <c r="D26" s="118"/>
      <c r="E26" s="28"/>
      <c r="F26" s="26"/>
      <c r="G26" s="27"/>
      <c r="H26" s="118"/>
      <c r="I26" s="28"/>
      <c r="J26" s="26"/>
      <c r="K26" s="27"/>
      <c r="L26" s="118"/>
      <c r="M26" s="28"/>
    </row>
    <row r="27" spans="1:13" ht="6" customHeight="1" thickBot="1">
      <c r="A27" s="99" t="s">
        <v>229</v>
      </c>
      <c r="B27" s="15"/>
      <c r="C27" s="16"/>
      <c r="D27" s="17"/>
      <c r="E27" s="18"/>
      <c r="F27" s="19"/>
      <c r="G27" s="20"/>
      <c r="H27" s="21"/>
      <c r="I27" s="18"/>
      <c r="J27" s="19"/>
      <c r="K27" s="20"/>
      <c r="L27" s="17"/>
      <c r="M27" s="22"/>
    </row>
    <row r="28" spans="1:13" ht="15" customHeight="1" thickBot="1">
      <c r="A28" s="100"/>
      <c r="B28" s="23"/>
      <c r="C28" s="24"/>
      <c r="D28" s="117" t="s">
        <v>230</v>
      </c>
      <c r="E28" s="25"/>
      <c r="F28" s="23"/>
      <c r="G28" s="24"/>
      <c r="H28" s="117" t="s">
        <v>232</v>
      </c>
      <c r="I28" s="25"/>
      <c r="J28" s="23"/>
      <c r="K28" s="24">
        <v>2</v>
      </c>
      <c r="L28" s="117" t="s">
        <v>234</v>
      </c>
      <c r="M28" s="25"/>
    </row>
    <row r="29" spans="1:13" ht="67.5" customHeight="1" thickBot="1">
      <c r="A29" s="101"/>
      <c r="B29" s="26"/>
      <c r="C29" s="27"/>
      <c r="D29" s="118"/>
      <c r="E29" s="28"/>
      <c r="F29" s="26"/>
      <c r="G29" s="27"/>
      <c r="H29" s="118"/>
      <c r="I29" s="28"/>
      <c r="J29" s="26"/>
      <c r="K29" s="27"/>
      <c r="L29" s="118"/>
      <c r="M29" s="28"/>
    </row>
    <row r="30" spans="1:13" ht="15.75" thickBot="1">
      <c r="D30" s="50"/>
      <c r="E30" s="51"/>
      <c r="F30" s="51"/>
      <c r="G30" s="51"/>
      <c r="H30" s="51"/>
      <c r="I30" s="52"/>
    </row>
    <row r="31" spans="1:13" ht="15.75" thickBot="1">
      <c r="D31" s="53" t="s">
        <v>279</v>
      </c>
      <c r="E31" s="59">
        <f>AVERAGE(C10,G10,K10,C13,G13,K13,C16,G16,K16,C19,G19,K19,C25,G25,K25,C28,G28,K28,C22,G22,K22)</f>
        <v>1.5</v>
      </c>
      <c r="F31" s="54"/>
      <c r="G31" s="54"/>
      <c r="H31" s="54"/>
      <c r="I31" s="55"/>
    </row>
    <row r="32" spans="1:13" ht="15.75" thickBot="1">
      <c r="D32" s="56"/>
      <c r="E32" s="57"/>
      <c r="F32" s="57"/>
      <c r="G32" s="57"/>
      <c r="H32" s="57"/>
      <c r="I32" s="58"/>
    </row>
  </sheetData>
  <sheetProtection algorithmName="SHA-512" hashValue="60dxfgQw4LHbKjEhpKFy4vZrtEaBjuM0TS8xfX9xvOtQQtnORXDSUxUeMoi7M8R7HqdjkrBI1pJ/hXY4xR6rPA==" saltValue="ya0c8z+nerIjzSH0ZqzDKA==" spinCount="100000" sheet="1" objects="1" scenarios="1" selectLockedCells="1"/>
  <mergeCells count="37">
    <mergeCell ref="A2:G2"/>
    <mergeCell ref="I2:L2"/>
    <mergeCell ref="A4:M4"/>
    <mergeCell ref="A5:M5"/>
    <mergeCell ref="A6:M6"/>
    <mergeCell ref="A7:A8"/>
    <mergeCell ref="D7:D8"/>
    <mergeCell ref="H7:H8"/>
    <mergeCell ref="L7:L8"/>
    <mergeCell ref="A9:A11"/>
    <mergeCell ref="D10:D11"/>
    <mergeCell ref="H10:H11"/>
    <mergeCell ref="L10:L11"/>
    <mergeCell ref="A12:A14"/>
    <mergeCell ref="D13:D14"/>
    <mergeCell ref="H13:H14"/>
    <mergeCell ref="L13:L14"/>
    <mergeCell ref="A15:A17"/>
    <mergeCell ref="D16:D17"/>
    <mergeCell ref="H16:H17"/>
    <mergeCell ref="L16:L17"/>
    <mergeCell ref="A18:A20"/>
    <mergeCell ref="D19:D20"/>
    <mergeCell ref="H19:H20"/>
    <mergeCell ref="L19:L20"/>
    <mergeCell ref="A21:A23"/>
    <mergeCell ref="D22:D23"/>
    <mergeCell ref="H22:H23"/>
    <mergeCell ref="L22:L23"/>
    <mergeCell ref="A24:A26"/>
    <mergeCell ref="D25:D26"/>
    <mergeCell ref="H25:H26"/>
    <mergeCell ref="L25:L26"/>
    <mergeCell ref="A27:A29"/>
    <mergeCell ref="D28:D29"/>
    <mergeCell ref="H28:H29"/>
    <mergeCell ref="L28:L29"/>
  </mergeCells>
  <conditionalFormatting sqref="C10">
    <cfRule type="colorScale" priority="34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13">
    <cfRule type="colorScale" priority="31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16">
    <cfRule type="colorScale" priority="28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19">
    <cfRule type="colorScale" priority="25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22">
    <cfRule type="colorScale" priority="22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25">
    <cfRule type="colorScale" priority="16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28">
    <cfRule type="colorScale" priority="13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E31">
    <cfRule type="colorScale" priority="1">
      <colorScale>
        <cfvo type="num" val="0"/>
        <cfvo type="num" val="1"/>
        <cfvo type="num" val="2"/>
        <color rgb="FFC00000"/>
        <color theme="7"/>
        <color theme="9"/>
      </colorScale>
    </cfRule>
  </conditionalFormatting>
  <conditionalFormatting sqref="G10">
    <cfRule type="colorScale" priority="33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13">
    <cfRule type="colorScale" priority="30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16">
    <cfRule type="colorScale" priority="27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19">
    <cfRule type="colorScale" priority="24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22">
    <cfRule type="colorScale" priority="21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25">
    <cfRule type="colorScale" priority="15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28">
    <cfRule type="colorScale" priority="12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10">
    <cfRule type="colorScale" priority="32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13">
    <cfRule type="colorScale" priority="29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16">
    <cfRule type="colorScale" priority="26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19">
    <cfRule type="colorScale" priority="23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22">
    <cfRule type="colorScale" priority="20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25">
    <cfRule type="colorScale" priority="14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28">
    <cfRule type="colorScale" priority="11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6"/>
  <sheetViews>
    <sheetView workbookViewId="0">
      <selection activeCell="Q20" sqref="Q20"/>
    </sheetView>
  </sheetViews>
  <sheetFormatPr baseColWidth="10" defaultColWidth="9.140625" defaultRowHeight="15"/>
  <cols>
    <col min="1" max="1" width="20.140625" style="1" customWidth="1"/>
    <col min="2" max="2" width="1" style="1" customWidth="1"/>
    <col min="3" max="3" width="3.7109375" style="1" customWidth="1"/>
    <col min="4" max="4" width="30.7109375" style="1" customWidth="1"/>
    <col min="5" max="5" width="3.7109375" style="1" customWidth="1"/>
    <col min="6" max="6" width="1" style="1" customWidth="1"/>
    <col min="7" max="7" width="3.7109375" style="1" customWidth="1"/>
    <col min="8" max="8" width="30.7109375" style="1" customWidth="1"/>
    <col min="9" max="9" width="3.7109375" style="1" customWidth="1"/>
    <col min="10" max="10" width="1" style="1" customWidth="1"/>
    <col min="11" max="11" width="3.7109375" style="1" customWidth="1"/>
    <col min="12" max="12" width="30.7109375" style="1" customWidth="1"/>
    <col min="13" max="13" width="3.7109375" style="1" customWidth="1"/>
    <col min="14" max="16384" width="9.140625" style="1"/>
  </cols>
  <sheetData>
    <row r="2" spans="1:13">
      <c r="A2" s="119" t="s">
        <v>644</v>
      </c>
      <c r="B2" s="119"/>
      <c r="C2" s="119"/>
      <c r="D2" s="119"/>
      <c r="E2" s="119"/>
      <c r="F2" s="119"/>
      <c r="G2" s="119"/>
      <c r="H2" s="1" t="s">
        <v>704</v>
      </c>
      <c r="I2" s="120" t="s">
        <v>645</v>
      </c>
      <c r="J2" s="120"/>
      <c r="K2" s="120"/>
      <c r="L2" s="120"/>
    </row>
    <row r="3" spans="1:13" ht="15.75" thickBot="1"/>
    <row r="4" spans="1:13" ht="18.75">
      <c r="A4" s="121" t="s">
        <v>0</v>
      </c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3"/>
    </row>
    <row r="5" spans="1:13" ht="18.75">
      <c r="A5" s="124" t="s">
        <v>58</v>
      </c>
      <c r="B5" s="125"/>
      <c r="C5" s="125"/>
      <c r="D5" s="125"/>
      <c r="E5" s="125"/>
      <c r="F5" s="125"/>
      <c r="G5" s="125"/>
      <c r="H5" s="125"/>
      <c r="I5" s="125"/>
      <c r="J5" s="125"/>
      <c r="K5" s="125"/>
      <c r="L5" s="125"/>
      <c r="M5" s="126"/>
    </row>
    <row r="6" spans="1:13" ht="19.5" thickBot="1">
      <c r="A6" s="127" t="s">
        <v>60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9"/>
    </row>
    <row r="7" spans="1:13" ht="12" customHeight="1" thickBot="1">
      <c r="A7" s="102" t="s">
        <v>3</v>
      </c>
      <c r="B7" s="37"/>
      <c r="C7" s="38"/>
      <c r="D7" s="104" t="s">
        <v>5</v>
      </c>
      <c r="E7" s="39">
        <v>0</v>
      </c>
      <c r="F7" s="40"/>
      <c r="G7" s="41"/>
      <c r="H7" s="106" t="s">
        <v>6</v>
      </c>
      <c r="I7" s="95">
        <v>1</v>
      </c>
      <c r="J7" s="40"/>
      <c r="K7" s="41"/>
      <c r="L7" s="104" t="s">
        <v>7</v>
      </c>
      <c r="M7" s="43">
        <v>2</v>
      </c>
    </row>
    <row r="8" spans="1:13" ht="16.5" thickBot="1">
      <c r="A8" s="103"/>
      <c r="B8" s="44"/>
      <c r="C8" s="45"/>
      <c r="D8" s="105"/>
      <c r="E8" s="46"/>
      <c r="F8" s="47"/>
      <c r="G8" s="48"/>
      <c r="H8" s="107"/>
      <c r="I8" s="48"/>
      <c r="J8" s="47"/>
      <c r="K8" s="48"/>
      <c r="L8" s="105"/>
      <c r="M8" s="49"/>
    </row>
    <row r="9" spans="1:13" ht="6" customHeight="1" thickBot="1">
      <c r="A9" s="98" t="s">
        <v>235</v>
      </c>
      <c r="B9" s="15"/>
      <c r="C9" s="16"/>
      <c r="D9" s="17"/>
      <c r="E9" s="18"/>
      <c r="F9" s="19"/>
      <c r="G9" s="20"/>
      <c r="H9" s="21"/>
      <c r="I9" s="20"/>
      <c r="J9" s="19"/>
      <c r="K9" s="20"/>
      <c r="L9" s="17"/>
      <c r="M9" s="22"/>
    </row>
    <row r="10" spans="1:13" ht="13.5" customHeight="1" thickBot="1">
      <c r="A10" s="96"/>
      <c r="B10" s="23"/>
      <c r="C10" s="24">
        <v>0</v>
      </c>
      <c r="D10" s="117" t="s">
        <v>236</v>
      </c>
      <c r="E10" s="25"/>
      <c r="F10" s="23"/>
      <c r="G10" s="24"/>
      <c r="H10" s="117" t="s">
        <v>237</v>
      </c>
      <c r="J10" s="23"/>
      <c r="K10" s="24"/>
      <c r="L10" s="117" t="s">
        <v>238</v>
      </c>
      <c r="M10" s="25"/>
    </row>
    <row r="11" spans="1:13" ht="68.25" customHeight="1" thickBot="1">
      <c r="A11" s="97"/>
      <c r="B11" s="26"/>
      <c r="C11" s="27"/>
      <c r="D11" s="118"/>
      <c r="E11" s="28"/>
      <c r="F11" s="26"/>
      <c r="G11" s="27"/>
      <c r="H11" s="118"/>
      <c r="I11" s="27"/>
      <c r="J11" s="26"/>
      <c r="K11" s="27"/>
      <c r="L11" s="118"/>
      <c r="M11" s="28"/>
    </row>
    <row r="12" spans="1:13" ht="6" customHeight="1" thickBot="1">
      <c r="A12" s="99" t="s">
        <v>245</v>
      </c>
      <c r="B12" s="29"/>
      <c r="C12" s="30"/>
      <c r="D12" s="31"/>
      <c r="E12" s="32"/>
      <c r="F12" s="33"/>
      <c r="G12" s="34"/>
      <c r="H12" s="35"/>
      <c r="I12" s="32"/>
      <c r="J12" s="33"/>
      <c r="K12" s="34"/>
      <c r="L12" s="31"/>
      <c r="M12" s="25"/>
    </row>
    <row r="13" spans="1:13" ht="15.75" thickBot="1">
      <c r="A13" s="96"/>
      <c r="B13" s="23"/>
      <c r="C13" s="24"/>
      <c r="D13" s="117" t="s">
        <v>241</v>
      </c>
      <c r="E13" s="25"/>
      <c r="F13" s="23"/>
      <c r="G13" s="24">
        <v>1</v>
      </c>
      <c r="H13" s="117" t="s">
        <v>246</v>
      </c>
      <c r="I13" s="25"/>
      <c r="J13" s="23"/>
      <c r="K13" s="24"/>
      <c r="L13" s="117" t="s">
        <v>253</v>
      </c>
      <c r="M13" s="25"/>
    </row>
    <row r="14" spans="1:13" ht="51" customHeight="1" thickBot="1">
      <c r="A14" s="97"/>
      <c r="B14" s="23"/>
      <c r="D14" s="117"/>
      <c r="E14" s="25"/>
      <c r="F14" s="23"/>
      <c r="H14" s="117"/>
      <c r="I14" s="25"/>
      <c r="J14" s="23"/>
      <c r="L14" s="117"/>
      <c r="M14" s="25"/>
    </row>
    <row r="15" spans="1:13" ht="6" customHeight="1" thickBot="1">
      <c r="A15" s="99" t="s">
        <v>239</v>
      </c>
      <c r="B15" s="15"/>
      <c r="C15" s="16"/>
      <c r="D15" s="17"/>
      <c r="E15" s="18"/>
      <c r="F15" s="19"/>
      <c r="G15" s="20"/>
      <c r="H15" s="21"/>
      <c r="I15" s="18"/>
      <c r="J15" s="19"/>
      <c r="K15" s="20"/>
      <c r="L15" s="17"/>
      <c r="M15" s="22"/>
    </row>
    <row r="16" spans="1:13" ht="15.75" thickBot="1">
      <c r="A16" s="100"/>
      <c r="B16" s="23"/>
      <c r="C16" s="24"/>
      <c r="D16" s="117" t="s">
        <v>242</v>
      </c>
      <c r="E16" s="25"/>
      <c r="F16" s="23"/>
      <c r="G16" s="24"/>
      <c r="H16" s="117" t="s">
        <v>247</v>
      </c>
      <c r="I16" s="25"/>
      <c r="J16" s="23"/>
      <c r="K16" s="24">
        <v>2</v>
      </c>
      <c r="L16" s="117" t="s">
        <v>252</v>
      </c>
      <c r="M16" s="25"/>
    </row>
    <row r="17" spans="1:13" ht="48.75" customHeight="1" thickBot="1">
      <c r="A17" s="101"/>
      <c r="B17" s="26"/>
      <c r="C17" s="27"/>
      <c r="D17" s="118"/>
      <c r="E17" s="28"/>
      <c r="F17" s="26"/>
      <c r="G17" s="27"/>
      <c r="H17" s="118"/>
      <c r="I17" s="28"/>
      <c r="J17" s="26"/>
      <c r="K17" s="27"/>
      <c r="L17" s="118"/>
      <c r="M17" s="28"/>
    </row>
    <row r="18" spans="1:13" ht="6" customHeight="1" thickBot="1">
      <c r="A18" s="99" t="s">
        <v>244</v>
      </c>
      <c r="B18" s="15"/>
      <c r="C18" s="16"/>
      <c r="D18" s="17"/>
      <c r="E18" s="18"/>
      <c r="F18" s="19"/>
      <c r="G18" s="20"/>
      <c r="H18" s="21"/>
      <c r="I18" s="18"/>
      <c r="J18" s="19"/>
      <c r="K18" s="20"/>
      <c r="L18" s="17"/>
      <c r="M18" s="22"/>
    </row>
    <row r="19" spans="1:13" ht="15" customHeight="1" thickBot="1">
      <c r="A19" s="96"/>
      <c r="B19" s="23"/>
      <c r="C19" s="24"/>
      <c r="D19" s="117" t="s">
        <v>243</v>
      </c>
      <c r="E19" s="25"/>
      <c r="F19" s="23"/>
      <c r="G19" s="24"/>
      <c r="H19" s="117" t="s">
        <v>248</v>
      </c>
      <c r="I19" s="25"/>
      <c r="J19" s="23"/>
      <c r="K19" s="24">
        <v>2</v>
      </c>
      <c r="L19" s="117" t="s">
        <v>251</v>
      </c>
      <c r="M19" s="25"/>
    </row>
    <row r="20" spans="1:13" ht="29.25" customHeight="1" thickBot="1">
      <c r="A20" s="97"/>
      <c r="B20" s="26"/>
      <c r="C20" s="27"/>
      <c r="D20" s="118"/>
      <c r="E20" s="28"/>
      <c r="F20" s="26"/>
      <c r="G20" s="27"/>
      <c r="H20" s="118"/>
      <c r="I20" s="28"/>
      <c r="J20" s="26"/>
      <c r="K20" s="27"/>
      <c r="L20" s="118"/>
      <c r="M20" s="28"/>
    </row>
    <row r="21" spans="1:13" ht="6" customHeight="1" thickBot="1">
      <c r="A21" s="99" t="s">
        <v>240</v>
      </c>
      <c r="B21" s="15"/>
      <c r="C21" s="16"/>
      <c r="D21" s="17"/>
      <c r="E21" s="18"/>
      <c r="F21" s="19"/>
      <c r="G21" s="20"/>
      <c r="H21" s="21"/>
      <c r="I21" s="18"/>
      <c r="J21" s="19"/>
      <c r="K21" s="20"/>
      <c r="L21" s="17"/>
      <c r="M21" s="22"/>
    </row>
    <row r="22" spans="1:13" ht="15.75" thickBot="1">
      <c r="A22" s="100"/>
      <c r="B22" s="23"/>
      <c r="C22" s="24"/>
      <c r="D22" s="117" t="s">
        <v>703</v>
      </c>
      <c r="E22" s="25"/>
      <c r="F22" s="23"/>
      <c r="G22" s="24"/>
      <c r="H22" s="117" t="s">
        <v>249</v>
      </c>
      <c r="I22" s="25"/>
      <c r="J22" s="23"/>
      <c r="K22" s="24">
        <v>2</v>
      </c>
      <c r="L22" s="117" t="s">
        <v>250</v>
      </c>
      <c r="M22" s="25"/>
    </row>
    <row r="23" spans="1:13" ht="48" customHeight="1" thickBot="1">
      <c r="A23" s="101"/>
      <c r="B23" s="26"/>
      <c r="C23" s="27"/>
      <c r="D23" s="118"/>
      <c r="E23" s="28"/>
      <c r="F23" s="26"/>
      <c r="G23" s="27"/>
      <c r="H23" s="118"/>
      <c r="I23" s="28"/>
      <c r="J23" s="26"/>
      <c r="K23" s="27"/>
      <c r="L23" s="118"/>
      <c r="M23" s="28"/>
    </row>
    <row r="24" spans="1:13" ht="15.75" thickBot="1">
      <c r="D24" s="50"/>
      <c r="E24" s="51"/>
      <c r="F24" s="51"/>
      <c r="G24" s="51"/>
      <c r="H24" s="51"/>
      <c r="I24" s="52"/>
    </row>
    <row r="25" spans="1:13" ht="15.75" thickBot="1">
      <c r="D25" s="53" t="s">
        <v>280</v>
      </c>
      <c r="E25" s="59">
        <f>AVERAGE(C10,G10,K10,C13,G13,K13,C16,G16,K16,C19,G19,K19,C22,G22,K22)</f>
        <v>1.4</v>
      </c>
      <c r="F25" s="54"/>
      <c r="G25" s="54"/>
      <c r="H25" s="54"/>
      <c r="I25" s="55"/>
    </row>
    <row r="26" spans="1:13" ht="15.75" thickBot="1">
      <c r="D26" s="56"/>
      <c r="E26" s="57"/>
      <c r="F26" s="57"/>
      <c r="G26" s="57"/>
      <c r="H26" s="57"/>
      <c r="I26" s="58"/>
    </row>
  </sheetData>
  <sheetProtection algorithmName="SHA-512" hashValue="0iDKhOHOxkJOQpAjZXZ4GMWaRhhQRBlu6BVJjAgPEy2fedhQJStSUHsgZIhnF2O3fX/YJPOJPdwCz9QBgxTUpw==" saltValue="SB2hKIqm09FVAK29NaAGxQ==" spinCount="100000" sheet="1" objects="1" scenarios="1" selectLockedCells="1"/>
  <mergeCells count="29">
    <mergeCell ref="A2:G2"/>
    <mergeCell ref="I2:L2"/>
    <mergeCell ref="A4:M4"/>
    <mergeCell ref="A5:M5"/>
    <mergeCell ref="A6:M6"/>
    <mergeCell ref="A7:A8"/>
    <mergeCell ref="D7:D8"/>
    <mergeCell ref="H7:H8"/>
    <mergeCell ref="L7:L8"/>
    <mergeCell ref="A9:A11"/>
    <mergeCell ref="D10:D11"/>
    <mergeCell ref="H10:H11"/>
    <mergeCell ref="L10:L11"/>
    <mergeCell ref="A12:A14"/>
    <mergeCell ref="D13:D14"/>
    <mergeCell ref="H13:H14"/>
    <mergeCell ref="L13:L14"/>
    <mergeCell ref="A15:A17"/>
    <mergeCell ref="D16:D17"/>
    <mergeCell ref="H16:H17"/>
    <mergeCell ref="L16:L17"/>
    <mergeCell ref="A18:A20"/>
    <mergeCell ref="D19:D20"/>
    <mergeCell ref="H19:H20"/>
    <mergeCell ref="L19:L20"/>
    <mergeCell ref="A21:A23"/>
    <mergeCell ref="D22:D23"/>
    <mergeCell ref="H22:H23"/>
    <mergeCell ref="L22:L23"/>
  </mergeCells>
  <conditionalFormatting sqref="C10">
    <cfRule type="colorScale" priority="34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13">
    <cfRule type="colorScale" priority="31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16">
    <cfRule type="colorScale" priority="28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19">
    <cfRule type="colorScale" priority="25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22">
    <cfRule type="colorScale" priority="22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E25">
    <cfRule type="colorScale" priority="1">
      <colorScale>
        <cfvo type="num" val="0"/>
        <cfvo type="num" val="1"/>
        <cfvo type="num" val="2"/>
        <color rgb="FFC00000"/>
        <color theme="7"/>
        <color theme="9"/>
      </colorScale>
    </cfRule>
  </conditionalFormatting>
  <conditionalFormatting sqref="G10">
    <cfRule type="colorScale" priority="33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13">
    <cfRule type="colorScale" priority="30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16">
    <cfRule type="colorScale" priority="27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19">
    <cfRule type="colorScale" priority="24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22">
    <cfRule type="colorScale" priority="21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10">
    <cfRule type="colorScale" priority="32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13">
    <cfRule type="colorScale" priority="29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16">
    <cfRule type="colorScale" priority="26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19">
    <cfRule type="colorScale" priority="23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22">
    <cfRule type="colorScale" priority="20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6"/>
  <sheetViews>
    <sheetView workbookViewId="0">
      <selection activeCell="Q11" sqref="Q11"/>
    </sheetView>
  </sheetViews>
  <sheetFormatPr baseColWidth="10" defaultColWidth="9.140625" defaultRowHeight="15"/>
  <cols>
    <col min="1" max="1" width="20.140625" style="1" customWidth="1"/>
    <col min="2" max="2" width="1" style="1" customWidth="1"/>
    <col min="3" max="3" width="3.7109375" style="1" customWidth="1"/>
    <col min="4" max="4" width="30.7109375" style="1" customWidth="1"/>
    <col min="5" max="5" width="3.7109375" style="1" customWidth="1"/>
    <col min="6" max="6" width="1" style="1" customWidth="1"/>
    <col min="7" max="7" width="3.7109375" style="1" customWidth="1"/>
    <col min="8" max="8" width="30.7109375" style="1" customWidth="1"/>
    <col min="9" max="9" width="3.7109375" style="1" customWidth="1"/>
    <col min="10" max="10" width="1" style="1" customWidth="1"/>
    <col min="11" max="11" width="3.7109375" style="1" customWidth="1"/>
    <col min="12" max="12" width="30.7109375" style="1" customWidth="1"/>
    <col min="13" max="13" width="3.7109375" style="1" customWidth="1"/>
    <col min="14" max="16384" width="9.140625" style="1"/>
  </cols>
  <sheetData>
    <row r="2" spans="1:13">
      <c r="A2" s="119" t="s">
        <v>644</v>
      </c>
      <c r="B2" s="119"/>
      <c r="C2" s="119"/>
      <c r="D2" s="119"/>
      <c r="E2" s="119"/>
      <c r="F2" s="119"/>
      <c r="G2" s="119"/>
      <c r="H2" s="1" t="s">
        <v>704</v>
      </c>
      <c r="I2" s="120" t="s">
        <v>645</v>
      </c>
      <c r="J2" s="120"/>
      <c r="K2" s="120"/>
      <c r="L2" s="120"/>
    </row>
    <row r="3" spans="1:13" ht="15.75" thickBot="1"/>
    <row r="4" spans="1:13" ht="18.75">
      <c r="A4" s="121" t="s">
        <v>0</v>
      </c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3"/>
    </row>
    <row r="5" spans="1:13" ht="18.75">
      <c r="A5" s="124" t="s">
        <v>58</v>
      </c>
      <c r="B5" s="125"/>
      <c r="C5" s="125"/>
      <c r="D5" s="125"/>
      <c r="E5" s="125"/>
      <c r="F5" s="125"/>
      <c r="G5" s="125"/>
      <c r="H5" s="125"/>
      <c r="I5" s="125"/>
      <c r="J5" s="125"/>
      <c r="K5" s="125"/>
      <c r="L5" s="125"/>
      <c r="M5" s="126"/>
    </row>
    <row r="6" spans="1:13" ht="19.5" thickBot="1">
      <c r="A6" s="127" t="s">
        <v>61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9"/>
    </row>
    <row r="7" spans="1:13" ht="12" customHeight="1" thickBot="1">
      <c r="A7" s="102" t="s">
        <v>3</v>
      </c>
      <c r="B7" s="37"/>
      <c r="C7" s="38"/>
      <c r="D7" s="104" t="s">
        <v>5</v>
      </c>
      <c r="E7" s="39">
        <v>0</v>
      </c>
      <c r="F7" s="40"/>
      <c r="G7" s="41"/>
      <c r="H7" s="106" t="s">
        <v>6</v>
      </c>
      <c r="I7" s="95">
        <v>1</v>
      </c>
      <c r="J7" s="40"/>
      <c r="K7" s="41"/>
      <c r="L7" s="104" t="s">
        <v>7</v>
      </c>
      <c r="M7" s="43">
        <v>2</v>
      </c>
    </row>
    <row r="8" spans="1:13" ht="16.5" thickBot="1">
      <c r="A8" s="103"/>
      <c r="B8" s="44"/>
      <c r="C8" s="45"/>
      <c r="D8" s="105"/>
      <c r="E8" s="46"/>
      <c r="F8" s="47"/>
      <c r="G8" s="48"/>
      <c r="H8" s="107"/>
      <c r="I8" s="48"/>
      <c r="J8" s="47"/>
      <c r="K8" s="48"/>
      <c r="L8" s="105"/>
      <c r="M8" s="49"/>
    </row>
    <row r="9" spans="1:13" ht="6" customHeight="1" thickBot="1">
      <c r="A9" s="98" t="s">
        <v>254</v>
      </c>
      <c r="B9" s="15"/>
      <c r="C9" s="16"/>
      <c r="D9" s="17"/>
      <c r="E9" s="18"/>
      <c r="F9" s="19"/>
      <c r="G9" s="20"/>
      <c r="H9" s="21"/>
      <c r="I9" s="20"/>
      <c r="J9" s="19"/>
      <c r="K9" s="20"/>
      <c r="L9" s="17"/>
      <c r="M9" s="22"/>
    </row>
    <row r="10" spans="1:13" ht="13.5" customHeight="1" thickBot="1">
      <c r="A10" s="96"/>
      <c r="B10" s="23"/>
      <c r="C10" s="24">
        <v>0</v>
      </c>
      <c r="D10" s="117" t="s">
        <v>261</v>
      </c>
      <c r="E10" s="25"/>
      <c r="F10" s="23"/>
      <c r="G10" s="24"/>
      <c r="H10" s="117" t="s">
        <v>264</v>
      </c>
      <c r="J10" s="23"/>
      <c r="K10" s="24"/>
      <c r="L10" s="117" t="s">
        <v>269</v>
      </c>
      <c r="M10" s="25"/>
    </row>
    <row r="11" spans="1:13" ht="53.25" customHeight="1" thickBot="1">
      <c r="A11" s="97"/>
      <c r="B11" s="26"/>
      <c r="C11" s="27"/>
      <c r="D11" s="118"/>
      <c r="E11" s="28"/>
      <c r="F11" s="26"/>
      <c r="G11" s="27"/>
      <c r="H11" s="118"/>
      <c r="I11" s="27"/>
      <c r="J11" s="26"/>
      <c r="K11" s="27"/>
      <c r="L11" s="118"/>
      <c r="M11" s="28"/>
    </row>
    <row r="12" spans="1:13" ht="6" customHeight="1" thickBot="1">
      <c r="A12" s="98" t="s">
        <v>255</v>
      </c>
      <c r="B12" s="29"/>
      <c r="C12" s="30"/>
      <c r="D12" s="31"/>
      <c r="E12" s="32"/>
      <c r="F12" s="33"/>
      <c r="G12" s="34"/>
      <c r="H12" s="35"/>
      <c r="I12" s="32"/>
      <c r="J12" s="33"/>
      <c r="K12" s="34"/>
      <c r="L12" s="31"/>
      <c r="M12" s="25"/>
    </row>
    <row r="13" spans="1:13" ht="15.75" thickBot="1">
      <c r="A13" s="96"/>
      <c r="B13" s="23"/>
      <c r="C13" s="24"/>
      <c r="D13" s="117" t="s">
        <v>259</v>
      </c>
      <c r="E13" s="25"/>
      <c r="F13" s="23"/>
      <c r="G13" s="24"/>
      <c r="H13" s="117" t="s">
        <v>265</v>
      </c>
      <c r="I13" s="25"/>
      <c r="J13" s="23"/>
      <c r="K13" s="24">
        <v>2</v>
      </c>
      <c r="L13" s="117" t="s">
        <v>270</v>
      </c>
      <c r="M13" s="25"/>
    </row>
    <row r="14" spans="1:13" ht="45" customHeight="1" thickBot="1">
      <c r="A14" s="97"/>
      <c r="B14" s="23"/>
      <c r="D14" s="117"/>
      <c r="E14" s="25"/>
      <c r="F14" s="23"/>
      <c r="H14" s="117"/>
      <c r="I14" s="25"/>
      <c r="J14" s="23"/>
      <c r="L14" s="117"/>
      <c r="M14" s="25"/>
    </row>
    <row r="15" spans="1:13" ht="6" customHeight="1" thickBot="1">
      <c r="A15" s="99" t="s">
        <v>256</v>
      </c>
      <c r="B15" s="15"/>
      <c r="C15" s="16"/>
      <c r="D15" s="17"/>
      <c r="E15" s="18"/>
      <c r="F15" s="19"/>
      <c r="G15" s="20"/>
      <c r="H15" s="21"/>
      <c r="I15" s="18"/>
      <c r="J15" s="19"/>
      <c r="K15" s="20"/>
      <c r="L15" s="17"/>
      <c r="M15" s="22"/>
    </row>
    <row r="16" spans="1:13" ht="15.75" thickBot="1">
      <c r="A16" s="100"/>
      <c r="B16" s="23"/>
      <c r="C16" s="24"/>
      <c r="D16" s="117" t="s">
        <v>260</v>
      </c>
      <c r="E16" s="25"/>
      <c r="F16" s="23"/>
      <c r="G16" s="24"/>
      <c r="H16" s="117" t="s">
        <v>266</v>
      </c>
      <c r="I16" s="25"/>
      <c r="J16" s="23"/>
      <c r="K16" s="24">
        <v>2</v>
      </c>
      <c r="L16" s="117" t="s">
        <v>271</v>
      </c>
      <c r="M16" s="25"/>
    </row>
    <row r="17" spans="1:13" ht="51" customHeight="1" thickBot="1">
      <c r="A17" s="101"/>
      <c r="B17" s="26"/>
      <c r="C17" s="27"/>
      <c r="D17" s="118"/>
      <c r="E17" s="28"/>
      <c r="F17" s="26"/>
      <c r="G17" s="27"/>
      <c r="H17" s="118"/>
      <c r="I17" s="28"/>
      <c r="J17" s="26"/>
      <c r="K17" s="27"/>
      <c r="L17" s="118"/>
      <c r="M17" s="28"/>
    </row>
    <row r="18" spans="1:13" ht="6" customHeight="1" thickBot="1">
      <c r="A18" s="98" t="s">
        <v>257</v>
      </c>
      <c r="B18" s="15"/>
      <c r="C18" s="16"/>
      <c r="D18" s="17"/>
      <c r="E18" s="18"/>
      <c r="F18" s="19"/>
      <c r="G18" s="20"/>
      <c r="H18" s="21"/>
      <c r="I18" s="18"/>
      <c r="J18" s="19"/>
      <c r="K18" s="20"/>
      <c r="L18" s="17"/>
      <c r="M18" s="22"/>
    </row>
    <row r="19" spans="1:13" ht="15" customHeight="1" thickBot="1">
      <c r="A19" s="96"/>
      <c r="B19" s="23"/>
      <c r="C19" s="24"/>
      <c r="D19" s="117" t="s">
        <v>262</v>
      </c>
      <c r="E19" s="25"/>
      <c r="F19" s="23"/>
      <c r="G19" s="24"/>
      <c r="H19" s="117" t="s">
        <v>267</v>
      </c>
      <c r="I19" s="25"/>
      <c r="J19" s="23"/>
      <c r="K19" s="24">
        <v>2</v>
      </c>
      <c r="L19" s="117" t="s">
        <v>272</v>
      </c>
      <c r="M19" s="25"/>
    </row>
    <row r="20" spans="1:13" ht="48" customHeight="1" thickBot="1">
      <c r="A20" s="97"/>
      <c r="B20" s="26"/>
      <c r="C20" s="27"/>
      <c r="D20" s="118"/>
      <c r="E20" s="28"/>
      <c r="F20" s="26"/>
      <c r="G20" s="27"/>
      <c r="H20" s="118"/>
      <c r="I20" s="28"/>
      <c r="J20" s="26"/>
      <c r="K20" s="27"/>
      <c r="L20" s="118"/>
      <c r="M20" s="28"/>
    </row>
    <row r="21" spans="1:13" ht="6" customHeight="1" thickBot="1">
      <c r="A21" s="99" t="s">
        <v>258</v>
      </c>
      <c r="B21" s="15"/>
      <c r="C21" s="16"/>
      <c r="D21" s="17"/>
      <c r="E21" s="18"/>
      <c r="F21" s="19"/>
      <c r="G21" s="20"/>
      <c r="H21" s="21"/>
      <c r="I21" s="18"/>
      <c r="J21" s="19"/>
      <c r="K21" s="20"/>
      <c r="L21" s="17"/>
      <c r="M21" s="22"/>
    </row>
    <row r="22" spans="1:13" ht="15.75" thickBot="1">
      <c r="A22" s="100"/>
      <c r="B22" s="23"/>
      <c r="C22" s="24"/>
      <c r="D22" s="117" t="s">
        <v>263</v>
      </c>
      <c r="E22" s="25"/>
      <c r="F22" s="23"/>
      <c r="G22" s="24"/>
      <c r="H22" s="117" t="s">
        <v>268</v>
      </c>
      <c r="I22" s="25"/>
      <c r="J22" s="23"/>
      <c r="K22" s="24">
        <v>2</v>
      </c>
      <c r="L22" s="117" t="s">
        <v>273</v>
      </c>
      <c r="M22" s="25"/>
    </row>
    <row r="23" spans="1:13" ht="48" customHeight="1" thickBot="1">
      <c r="A23" s="101"/>
      <c r="B23" s="26"/>
      <c r="C23" s="27"/>
      <c r="D23" s="118"/>
      <c r="E23" s="28"/>
      <c r="F23" s="26"/>
      <c r="G23" s="27"/>
      <c r="H23" s="118"/>
      <c r="I23" s="28"/>
      <c r="J23" s="26"/>
      <c r="K23" s="27"/>
      <c r="L23" s="118"/>
      <c r="M23" s="28"/>
    </row>
    <row r="24" spans="1:13" ht="15.75" thickBot="1">
      <c r="D24" s="50"/>
      <c r="E24" s="51"/>
      <c r="F24" s="51"/>
      <c r="G24" s="51"/>
      <c r="H24" s="51"/>
      <c r="I24" s="52"/>
    </row>
    <row r="25" spans="1:13" ht="15.75" thickBot="1">
      <c r="D25" s="53" t="s">
        <v>281</v>
      </c>
      <c r="E25" s="59">
        <f>AVERAGE(C10,G10,K10,C13,G13,K13,C16,G16,K16,C19,G19,K19,C22,G22,K22)</f>
        <v>1.6</v>
      </c>
      <c r="F25" s="54"/>
      <c r="G25" s="54"/>
      <c r="H25" s="54"/>
      <c r="I25" s="55"/>
    </row>
    <row r="26" spans="1:13" ht="15.75" thickBot="1">
      <c r="D26" s="56"/>
      <c r="E26" s="57"/>
      <c r="F26" s="57"/>
      <c r="G26" s="57"/>
      <c r="H26" s="57"/>
      <c r="I26" s="58"/>
    </row>
  </sheetData>
  <sheetProtection algorithmName="SHA-512" hashValue="cjipRVbnEOLL4wgSC84ggPGzbXYq4uFp07qEtoH5d8wnrZ5QzTPTGZMFxZmnc0yR26U7drD1ZQffQdBmBkIETQ==" saltValue="HjQy47S11+DrFW0+s4OQCg==" spinCount="100000" sheet="1" objects="1" scenarios="1" selectLockedCells="1"/>
  <mergeCells count="29">
    <mergeCell ref="A2:G2"/>
    <mergeCell ref="I2:L2"/>
    <mergeCell ref="A4:M4"/>
    <mergeCell ref="A5:M5"/>
    <mergeCell ref="A6:M6"/>
    <mergeCell ref="A7:A8"/>
    <mergeCell ref="D7:D8"/>
    <mergeCell ref="H7:H8"/>
    <mergeCell ref="L7:L8"/>
    <mergeCell ref="A9:A11"/>
    <mergeCell ref="D10:D11"/>
    <mergeCell ref="H10:H11"/>
    <mergeCell ref="L10:L11"/>
    <mergeCell ref="A12:A14"/>
    <mergeCell ref="D13:D14"/>
    <mergeCell ref="H13:H14"/>
    <mergeCell ref="L13:L14"/>
    <mergeCell ref="A15:A17"/>
    <mergeCell ref="D16:D17"/>
    <mergeCell ref="H16:H17"/>
    <mergeCell ref="L16:L17"/>
    <mergeCell ref="A18:A20"/>
    <mergeCell ref="D19:D20"/>
    <mergeCell ref="H19:H20"/>
    <mergeCell ref="L19:L20"/>
    <mergeCell ref="A21:A23"/>
    <mergeCell ref="D22:D23"/>
    <mergeCell ref="H22:H23"/>
    <mergeCell ref="L22:L23"/>
  </mergeCells>
  <conditionalFormatting sqref="C10">
    <cfRule type="colorScale" priority="34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13">
    <cfRule type="colorScale" priority="31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16">
    <cfRule type="colorScale" priority="28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19">
    <cfRule type="colorScale" priority="25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22">
    <cfRule type="colorScale" priority="22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E25">
    <cfRule type="colorScale" priority="1">
      <colorScale>
        <cfvo type="num" val="0"/>
        <cfvo type="num" val="1"/>
        <cfvo type="num" val="2"/>
        <color rgb="FFC00000"/>
        <color theme="7"/>
        <color theme="9"/>
      </colorScale>
    </cfRule>
  </conditionalFormatting>
  <conditionalFormatting sqref="G10">
    <cfRule type="colorScale" priority="33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13">
    <cfRule type="colorScale" priority="30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16">
    <cfRule type="colorScale" priority="27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19">
    <cfRule type="colorScale" priority="24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22">
    <cfRule type="colorScale" priority="21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10">
    <cfRule type="colorScale" priority="32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13">
    <cfRule type="colorScale" priority="29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16">
    <cfRule type="colorScale" priority="26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19">
    <cfRule type="colorScale" priority="23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22">
    <cfRule type="colorScale" priority="20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41"/>
  <sheetViews>
    <sheetView topLeftCell="A32" workbookViewId="0">
      <selection activeCell="Q37" sqref="Q37"/>
    </sheetView>
  </sheetViews>
  <sheetFormatPr baseColWidth="10" defaultColWidth="9.140625" defaultRowHeight="15"/>
  <cols>
    <col min="1" max="1" width="20.140625" style="1" customWidth="1"/>
    <col min="2" max="2" width="1" style="1" customWidth="1"/>
    <col min="3" max="3" width="3.7109375" style="1" customWidth="1"/>
    <col min="4" max="4" width="30.7109375" style="1" customWidth="1"/>
    <col min="5" max="5" width="3.7109375" style="1" customWidth="1"/>
    <col min="6" max="6" width="1" style="1" customWidth="1"/>
    <col min="7" max="7" width="3.7109375" style="1" customWidth="1"/>
    <col min="8" max="8" width="30.7109375" style="1" customWidth="1"/>
    <col min="9" max="9" width="3.7109375" style="1" customWidth="1"/>
    <col min="10" max="10" width="1" style="1" customWidth="1"/>
    <col min="11" max="11" width="3.7109375" style="1" customWidth="1"/>
    <col min="12" max="12" width="30.7109375" style="1" customWidth="1"/>
    <col min="13" max="13" width="3.7109375" style="1" customWidth="1"/>
    <col min="14" max="16384" width="9.140625" style="1"/>
  </cols>
  <sheetData>
    <row r="2" spans="1:13">
      <c r="A2" s="119" t="s">
        <v>644</v>
      </c>
      <c r="B2" s="119"/>
      <c r="C2" s="119"/>
      <c r="D2" s="119"/>
      <c r="E2" s="119"/>
      <c r="F2" s="119"/>
      <c r="G2" s="119"/>
      <c r="H2" s="1" t="s">
        <v>704</v>
      </c>
      <c r="I2" s="120" t="s">
        <v>645</v>
      </c>
      <c r="J2" s="120"/>
      <c r="K2" s="120"/>
      <c r="L2" s="120"/>
    </row>
    <row r="3" spans="1:13" ht="15.75" thickBot="1"/>
    <row r="4" spans="1:13" ht="18.75">
      <c r="A4" s="130" t="s">
        <v>0</v>
      </c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2"/>
    </row>
    <row r="5" spans="1:13" ht="18.75">
      <c r="A5" s="133" t="s">
        <v>62</v>
      </c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5"/>
    </row>
    <row r="6" spans="1:13" ht="19.5" thickBot="1">
      <c r="A6" s="136" t="s">
        <v>63</v>
      </c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8"/>
    </row>
    <row r="7" spans="1:13" ht="12" customHeight="1" thickBot="1">
      <c r="A7" s="102" t="s">
        <v>3</v>
      </c>
      <c r="B7" s="37"/>
      <c r="C7" s="38"/>
      <c r="D7" s="104" t="s">
        <v>5</v>
      </c>
      <c r="E7" s="39">
        <v>0</v>
      </c>
      <c r="F7" s="40"/>
      <c r="G7" s="41"/>
      <c r="H7" s="106" t="s">
        <v>6</v>
      </c>
      <c r="I7" s="95">
        <v>1</v>
      </c>
      <c r="J7" s="40"/>
      <c r="K7" s="41"/>
      <c r="L7" s="104" t="s">
        <v>7</v>
      </c>
      <c r="M7" s="43">
        <v>2</v>
      </c>
    </row>
    <row r="8" spans="1:13" ht="16.5" thickBot="1">
      <c r="A8" s="103"/>
      <c r="B8" s="44"/>
      <c r="C8" s="45"/>
      <c r="D8" s="105"/>
      <c r="E8" s="46"/>
      <c r="F8" s="47"/>
      <c r="G8" s="48"/>
      <c r="H8" s="107"/>
      <c r="I8" s="48"/>
      <c r="J8" s="47"/>
      <c r="K8" s="48"/>
      <c r="L8" s="105"/>
      <c r="M8" s="49"/>
    </row>
    <row r="9" spans="1:13" ht="6" customHeight="1" thickBot="1">
      <c r="A9" s="98" t="s">
        <v>97</v>
      </c>
      <c r="B9" s="15"/>
      <c r="C9" s="16"/>
      <c r="D9" s="17"/>
      <c r="E9" s="18"/>
      <c r="F9" s="19"/>
      <c r="G9" s="20"/>
      <c r="H9" s="21"/>
      <c r="I9" s="20"/>
      <c r="J9" s="19"/>
      <c r="K9" s="20"/>
      <c r="L9" s="17"/>
      <c r="M9" s="22"/>
    </row>
    <row r="10" spans="1:13" ht="13.5" customHeight="1" thickBot="1">
      <c r="A10" s="96"/>
      <c r="B10" s="23"/>
      <c r="C10" s="24"/>
      <c r="D10" s="117" t="s">
        <v>282</v>
      </c>
      <c r="E10" s="25"/>
      <c r="F10" s="23"/>
      <c r="G10" s="24">
        <v>1</v>
      </c>
      <c r="H10" s="117" t="s">
        <v>290</v>
      </c>
      <c r="J10" s="23"/>
      <c r="K10" s="24"/>
      <c r="L10" s="117" t="s">
        <v>302</v>
      </c>
      <c r="M10" s="25"/>
    </row>
    <row r="11" spans="1:13" ht="110.25" customHeight="1" thickBot="1">
      <c r="A11" s="97"/>
      <c r="B11" s="26"/>
      <c r="C11" s="27"/>
      <c r="D11" s="118"/>
      <c r="E11" s="28"/>
      <c r="F11" s="26"/>
      <c r="G11" s="27"/>
      <c r="H11" s="118"/>
      <c r="I11" s="27"/>
      <c r="J11" s="26"/>
      <c r="K11" s="27"/>
      <c r="L11" s="118"/>
      <c r="M11" s="28"/>
    </row>
    <row r="12" spans="1:13" ht="6" customHeight="1" thickBot="1">
      <c r="A12" s="98" t="s">
        <v>98</v>
      </c>
      <c r="B12" s="29"/>
      <c r="C12" s="30"/>
      <c r="D12" s="31"/>
      <c r="E12" s="32"/>
      <c r="F12" s="33"/>
      <c r="G12" s="34"/>
      <c r="H12" s="35"/>
      <c r="I12" s="32"/>
      <c r="J12" s="33"/>
      <c r="K12" s="34"/>
      <c r="L12" s="31"/>
      <c r="M12" s="25"/>
    </row>
    <row r="13" spans="1:13" ht="15.75" thickBot="1">
      <c r="A13" s="96"/>
      <c r="B13" s="23"/>
      <c r="C13" s="24"/>
      <c r="D13" s="117" t="s">
        <v>283</v>
      </c>
      <c r="E13" s="25"/>
      <c r="F13" s="23"/>
      <c r="G13" s="24">
        <v>1</v>
      </c>
      <c r="H13" s="117" t="s">
        <v>291</v>
      </c>
      <c r="I13" s="25"/>
      <c r="J13" s="23"/>
      <c r="K13" s="24"/>
      <c r="L13" s="117" t="s">
        <v>292</v>
      </c>
      <c r="M13" s="25"/>
    </row>
    <row r="14" spans="1:13" ht="63.75" customHeight="1" thickBot="1">
      <c r="A14" s="97"/>
      <c r="B14" s="23"/>
      <c r="D14" s="117"/>
      <c r="E14" s="25"/>
      <c r="F14" s="23"/>
      <c r="H14" s="117"/>
      <c r="I14" s="25"/>
      <c r="J14" s="23"/>
      <c r="L14" s="117"/>
      <c r="M14" s="25"/>
    </row>
    <row r="15" spans="1:13" ht="6" customHeight="1" thickBot="1">
      <c r="A15" s="99" t="s">
        <v>99</v>
      </c>
      <c r="B15" s="15"/>
      <c r="C15" s="16"/>
      <c r="D15" s="17"/>
      <c r="E15" s="18"/>
      <c r="F15" s="19"/>
      <c r="G15" s="20"/>
      <c r="H15" s="21"/>
      <c r="I15" s="18"/>
      <c r="J15" s="19"/>
      <c r="K15" s="20"/>
      <c r="L15" s="17"/>
      <c r="M15" s="22"/>
    </row>
    <row r="16" spans="1:13" ht="15.75" thickBot="1">
      <c r="A16" s="100"/>
      <c r="B16" s="23"/>
      <c r="C16" s="24"/>
      <c r="D16" s="117" t="s">
        <v>284</v>
      </c>
      <c r="E16" s="25"/>
      <c r="F16" s="23"/>
      <c r="G16" s="24"/>
      <c r="H16" s="117" t="s">
        <v>293</v>
      </c>
      <c r="I16" s="25"/>
      <c r="J16" s="23"/>
      <c r="K16" s="24">
        <v>2</v>
      </c>
      <c r="L16" s="117" t="s">
        <v>294</v>
      </c>
      <c r="M16" s="25"/>
    </row>
    <row r="17" spans="1:13" ht="77.25" customHeight="1" thickBot="1">
      <c r="A17" s="101"/>
      <c r="B17" s="26"/>
      <c r="C17" s="27"/>
      <c r="D17" s="118"/>
      <c r="E17" s="28"/>
      <c r="F17" s="26"/>
      <c r="G17" s="27"/>
      <c r="H17" s="118"/>
      <c r="I17" s="28"/>
      <c r="J17" s="26"/>
      <c r="K17" s="27"/>
      <c r="L17" s="118"/>
      <c r="M17" s="28"/>
    </row>
    <row r="18" spans="1:13" ht="6" customHeight="1" thickBot="1">
      <c r="A18" s="98" t="s">
        <v>100</v>
      </c>
      <c r="B18" s="15"/>
      <c r="C18" s="16"/>
      <c r="D18" s="17"/>
      <c r="E18" s="18"/>
      <c r="F18" s="19"/>
      <c r="G18" s="20"/>
      <c r="H18" s="21"/>
      <c r="I18" s="18"/>
      <c r="J18" s="19"/>
      <c r="K18" s="20"/>
      <c r="L18" s="17"/>
      <c r="M18" s="22"/>
    </row>
    <row r="19" spans="1:13" ht="15" customHeight="1" thickBot="1">
      <c r="A19" s="96"/>
      <c r="B19" s="23"/>
      <c r="C19" s="24"/>
      <c r="D19" s="117" t="s">
        <v>285</v>
      </c>
      <c r="E19" s="25"/>
      <c r="F19" s="23"/>
      <c r="G19" s="24"/>
      <c r="H19" s="117" t="s">
        <v>295</v>
      </c>
      <c r="I19" s="25"/>
      <c r="J19" s="23"/>
      <c r="K19" s="24">
        <v>2</v>
      </c>
      <c r="L19" s="117" t="s">
        <v>297</v>
      </c>
      <c r="M19" s="25"/>
    </row>
    <row r="20" spans="1:13" ht="81" customHeight="1" thickBot="1">
      <c r="A20" s="97"/>
      <c r="B20" s="26"/>
      <c r="C20" s="27"/>
      <c r="D20" s="118"/>
      <c r="E20" s="28"/>
      <c r="F20" s="26"/>
      <c r="G20" s="27"/>
      <c r="H20" s="118"/>
      <c r="I20" s="28"/>
      <c r="J20" s="26"/>
      <c r="K20" s="27"/>
      <c r="L20" s="118"/>
      <c r="M20" s="28"/>
    </row>
    <row r="21" spans="1:13" ht="6" customHeight="1" thickBot="1">
      <c r="A21" s="99" t="s">
        <v>101</v>
      </c>
      <c r="B21" s="15"/>
      <c r="C21" s="16"/>
      <c r="D21" s="17"/>
      <c r="E21" s="18"/>
      <c r="F21" s="19"/>
      <c r="G21" s="20"/>
      <c r="H21" s="21"/>
      <c r="I21" s="18"/>
      <c r="J21" s="19"/>
      <c r="K21" s="20"/>
      <c r="L21" s="17"/>
      <c r="M21" s="22"/>
    </row>
    <row r="22" spans="1:13" ht="15.75" thickBot="1">
      <c r="A22" s="100"/>
      <c r="B22" s="23"/>
      <c r="C22" s="24"/>
      <c r="D22" s="117" t="s">
        <v>286</v>
      </c>
      <c r="E22" s="25"/>
      <c r="F22" s="23"/>
      <c r="G22" s="24"/>
      <c r="H22" s="117" t="s">
        <v>296</v>
      </c>
      <c r="I22" s="25"/>
      <c r="J22" s="23"/>
      <c r="K22" s="24">
        <v>2</v>
      </c>
      <c r="L22" s="117" t="s">
        <v>298</v>
      </c>
      <c r="M22" s="25"/>
    </row>
    <row r="23" spans="1:13" ht="80.25" customHeight="1" thickBot="1">
      <c r="A23" s="101"/>
      <c r="B23" s="26"/>
      <c r="C23" s="27"/>
      <c r="D23" s="118"/>
      <c r="E23" s="28"/>
      <c r="F23" s="26"/>
      <c r="G23" s="27"/>
      <c r="H23" s="118"/>
      <c r="I23" s="28"/>
      <c r="J23" s="26"/>
      <c r="K23" s="27"/>
      <c r="L23" s="118"/>
      <c r="M23" s="28"/>
    </row>
    <row r="24" spans="1:13" ht="9" customHeight="1" thickBot="1">
      <c r="A24" s="99" t="s">
        <v>103</v>
      </c>
      <c r="B24" s="15"/>
      <c r="C24" s="16"/>
      <c r="D24" s="17"/>
      <c r="E24" s="18"/>
      <c r="F24" s="19"/>
      <c r="G24" s="20"/>
      <c r="H24" s="21"/>
      <c r="I24" s="18"/>
      <c r="J24" s="19"/>
      <c r="K24" s="20"/>
      <c r="L24" s="17"/>
      <c r="M24" s="22"/>
    </row>
    <row r="25" spans="1:13" ht="16.5" customHeight="1" thickBot="1">
      <c r="A25" s="100"/>
      <c r="B25" s="23"/>
      <c r="C25" s="24"/>
      <c r="D25" s="117" t="s">
        <v>299</v>
      </c>
      <c r="E25" s="25"/>
      <c r="F25" s="23"/>
      <c r="G25" s="24">
        <v>1</v>
      </c>
      <c r="H25" s="117" t="s">
        <v>300</v>
      </c>
      <c r="I25" s="25"/>
      <c r="J25" s="23"/>
      <c r="K25" s="24"/>
      <c r="L25" s="117" t="s">
        <v>301</v>
      </c>
      <c r="M25" s="25"/>
    </row>
    <row r="26" spans="1:13" ht="93.75" customHeight="1" thickBot="1">
      <c r="A26" s="101"/>
      <c r="B26" s="26"/>
      <c r="C26" s="27"/>
      <c r="D26" s="118"/>
      <c r="E26" s="28"/>
      <c r="F26" s="26"/>
      <c r="G26" s="27"/>
      <c r="H26" s="118"/>
      <c r="I26" s="28"/>
      <c r="J26" s="26"/>
      <c r="K26" s="27"/>
      <c r="L26" s="118"/>
      <c r="M26" s="28"/>
    </row>
    <row r="27" spans="1:13" ht="6" customHeight="1" thickBot="1">
      <c r="A27" s="99" t="s">
        <v>274</v>
      </c>
      <c r="B27" s="15"/>
      <c r="C27" s="16"/>
      <c r="D27" s="17"/>
      <c r="E27" s="18"/>
      <c r="F27" s="19"/>
      <c r="G27" s="20"/>
      <c r="H27" s="21"/>
      <c r="I27" s="18"/>
      <c r="J27" s="19"/>
      <c r="K27" s="20"/>
      <c r="L27" s="17"/>
      <c r="M27" s="22"/>
    </row>
    <row r="28" spans="1:13" ht="15.75" customHeight="1" thickBot="1">
      <c r="A28" s="100"/>
      <c r="B28" s="23"/>
      <c r="C28" s="24"/>
      <c r="D28" s="117" t="s">
        <v>287</v>
      </c>
      <c r="E28" s="25"/>
      <c r="F28" s="23"/>
      <c r="G28" s="24">
        <v>1</v>
      </c>
      <c r="H28" s="117" t="s">
        <v>304</v>
      </c>
      <c r="I28" s="25"/>
      <c r="J28" s="23"/>
      <c r="K28" s="24"/>
      <c r="L28" s="117" t="s">
        <v>303</v>
      </c>
      <c r="M28" s="25"/>
    </row>
    <row r="29" spans="1:13" ht="66" customHeight="1" thickBot="1">
      <c r="A29" s="101"/>
      <c r="B29" s="26"/>
      <c r="C29" s="27"/>
      <c r="D29" s="118"/>
      <c r="E29" s="28"/>
      <c r="F29" s="26"/>
      <c r="G29" s="27"/>
      <c r="H29" s="118"/>
      <c r="I29" s="28"/>
      <c r="J29" s="26"/>
      <c r="K29" s="27"/>
      <c r="L29" s="118"/>
      <c r="M29" s="28"/>
    </row>
    <row r="30" spans="1:13" ht="6" customHeight="1" thickBot="1">
      <c r="A30" s="99" t="s">
        <v>275</v>
      </c>
      <c r="B30" s="15"/>
      <c r="C30" s="16"/>
      <c r="D30" s="17"/>
      <c r="E30" s="18"/>
      <c r="F30" s="19"/>
      <c r="G30" s="20"/>
      <c r="H30" s="21"/>
      <c r="I30" s="18"/>
      <c r="J30" s="19"/>
      <c r="K30" s="20"/>
      <c r="L30" s="17"/>
      <c r="M30" s="22"/>
    </row>
    <row r="31" spans="1:13" ht="15" customHeight="1" thickBot="1">
      <c r="A31" s="100"/>
      <c r="B31" s="23"/>
      <c r="C31" s="24"/>
      <c r="D31" s="117" t="s">
        <v>288</v>
      </c>
      <c r="E31" s="25"/>
      <c r="F31" s="23"/>
      <c r="G31" s="24">
        <v>1</v>
      </c>
      <c r="H31" s="117" t="s">
        <v>305</v>
      </c>
      <c r="I31" s="25"/>
      <c r="J31" s="23"/>
      <c r="K31" s="24"/>
      <c r="L31" s="117" t="s">
        <v>306</v>
      </c>
      <c r="M31" s="25"/>
    </row>
    <row r="32" spans="1:13" ht="84.75" customHeight="1" thickBot="1">
      <c r="A32" s="101"/>
      <c r="B32" s="26"/>
      <c r="C32" s="27"/>
      <c r="D32" s="118"/>
      <c r="E32" s="28"/>
      <c r="F32" s="26"/>
      <c r="G32" s="27"/>
      <c r="H32" s="118"/>
      <c r="I32" s="28"/>
      <c r="J32" s="26"/>
      <c r="K32" s="27"/>
      <c r="L32" s="118"/>
      <c r="M32" s="28"/>
    </row>
    <row r="33" spans="1:13" ht="6" customHeight="1" thickBot="1">
      <c r="A33" s="99" t="s">
        <v>104</v>
      </c>
      <c r="B33" s="15"/>
      <c r="C33" s="16"/>
      <c r="D33" s="17"/>
      <c r="E33" s="18"/>
      <c r="F33" s="19"/>
      <c r="G33" s="20"/>
      <c r="H33" s="21"/>
      <c r="I33" s="18"/>
      <c r="J33" s="19"/>
      <c r="K33" s="20"/>
      <c r="L33" s="17"/>
      <c r="M33" s="22"/>
    </row>
    <row r="34" spans="1:13" ht="15" customHeight="1" thickBot="1">
      <c r="A34" s="100"/>
      <c r="B34" s="23"/>
      <c r="C34" s="24"/>
      <c r="D34" s="117" t="s">
        <v>289</v>
      </c>
      <c r="E34" s="25"/>
      <c r="F34" s="23"/>
      <c r="G34" s="24"/>
      <c r="H34" s="117" t="s">
        <v>307</v>
      </c>
      <c r="I34" s="25"/>
      <c r="J34" s="23"/>
      <c r="K34" s="24">
        <v>2</v>
      </c>
      <c r="L34" s="117" t="s">
        <v>537</v>
      </c>
      <c r="M34" s="25"/>
    </row>
    <row r="35" spans="1:13" ht="84.75" customHeight="1" thickBot="1">
      <c r="A35" s="101"/>
      <c r="B35" s="26"/>
      <c r="C35" s="27"/>
      <c r="D35" s="118"/>
      <c r="E35" s="28"/>
      <c r="F35" s="26"/>
      <c r="G35" s="27"/>
      <c r="H35" s="118"/>
      <c r="I35" s="28"/>
      <c r="J35" s="26"/>
      <c r="K35" s="27"/>
      <c r="L35" s="118"/>
      <c r="M35" s="28"/>
    </row>
    <row r="36" spans="1:13" ht="6" customHeight="1" thickBot="1">
      <c r="A36" s="99" t="s">
        <v>534</v>
      </c>
      <c r="B36" s="15"/>
      <c r="C36" s="16"/>
      <c r="D36" s="17"/>
      <c r="E36" s="18"/>
      <c r="F36" s="19"/>
      <c r="G36" s="20"/>
      <c r="H36" s="21"/>
      <c r="I36" s="18"/>
      <c r="J36" s="19"/>
      <c r="K36" s="20"/>
      <c r="L36" s="17"/>
      <c r="M36" s="22"/>
    </row>
    <row r="37" spans="1:13" ht="15" customHeight="1" thickBot="1">
      <c r="A37" s="100"/>
      <c r="B37" s="23"/>
      <c r="C37" s="24"/>
      <c r="D37" s="117" t="s">
        <v>535</v>
      </c>
      <c r="E37" s="25"/>
      <c r="F37" s="23"/>
      <c r="G37" s="24"/>
      <c r="H37" s="117" t="s">
        <v>536</v>
      </c>
      <c r="I37" s="25"/>
      <c r="J37" s="23"/>
      <c r="K37" s="24">
        <v>2</v>
      </c>
      <c r="L37" s="117" t="s">
        <v>538</v>
      </c>
      <c r="M37" s="25"/>
    </row>
    <row r="38" spans="1:13" ht="108" customHeight="1" thickBot="1">
      <c r="A38" s="101"/>
      <c r="B38" s="26"/>
      <c r="C38" s="27"/>
      <c r="D38" s="118"/>
      <c r="E38" s="28"/>
      <c r="F38" s="26"/>
      <c r="G38" s="27"/>
      <c r="H38" s="118"/>
      <c r="I38" s="28"/>
      <c r="J38" s="26"/>
      <c r="K38" s="27"/>
      <c r="L38" s="118"/>
      <c r="M38" s="28"/>
    </row>
    <row r="39" spans="1:13" ht="15.75" thickBot="1">
      <c r="D39" s="50"/>
      <c r="E39" s="51"/>
      <c r="F39" s="51"/>
      <c r="G39" s="51"/>
      <c r="H39" s="51"/>
      <c r="I39" s="52"/>
    </row>
    <row r="40" spans="1:13" ht="15.75" thickBot="1">
      <c r="D40" s="53" t="s">
        <v>670</v>
      </c>
      <c r="E40" s="59">
        <f>AVERAGE(C10,G10,K10,C13,G13,K13,C16,G16,K16,C19,G19,K19,C28,G28,K28,C31,G31,K31,C37,G37,K37,C22,G22,K22,C25,G25,K25,C34,G34,K34)</f>
        <v>1.5</v>
      </c>
      <c r="F40" s="54"/>
      <c r="G40" s="54"/>
      <c r="H40" s="54"/>
      <c r="I40" s="55"/>
    </row>
    <row r="41" spans="1:13" ht="15.75" thickBot="1">
      <c r="D41" s="56"/>
      <c r="E41" s="57"/>
      <c r="F41" s="57"/>
      <c r="G41" s="57"/>
      <c r="H41" s="57"/>
      <c r="I41" s="58"/>
    </row>
  </sheetData>
  <sheetProtection algorithmName="SHA-512" hashValue="OxourKJWaAF47BsVhEyMLr+fhdAxSRS74SSpuoLJtirbCx2QKtNeURvO1ojWWD67Gc0Zx/CalZoMaIpo7ro0qw==" saltValue="VcXapF4SzlX+eXlwwU3ujQ==" spinCount="100000" sheet="1" objects="1" scenarios="1" selectLockedCells="1"/>
  <mergeCells count="49">
    <mergeCell ref="A2:G2"/>
    <mergeCell ref="I2:L2"/>
    <mergeCell ref="L34:L35"/>
    <mergeCell ref="A4:M4"/>
    <mergeCell ref="A5:M5"/>
    <mergeCell ref="A6:M6"/>
    <mergeCell ref="A7:A8"/>
    <mergeCell ref="D7:D8"/>
    <mergeCell ref="H7:H8"/>
    <mergeCell ref="L7:L8"/>
    <mergeCell ref="A9:A11"/>
    <mergeCell ref="D10:D11"/>
    <mergeCell ref="H10:H11"/>
    <mergeCell ref="L10:L11"/>
    <mergeCell ref="A12:A14"/>
    <mergeCell ref="D13:D14"/>
    <mergeCell ref="H13:H14"/>
    <mergeCell ref="L13:L14"/>
    <mergeCell ref="A15:A17"/>
    <mergeCell ref="D16:D17"/>
    <mergeCell ref="H16:H17"/>
    <mergeCell ref="L16:L17"/>
    <mergeCell ref="A18:A20"/>
    <mergeCell ref="D19:D20"/>
    <mergeCell ref="H19:H20"/>
    <mergeCell ref="L19:L20"/>
    <mergeCell ref="A21:A23"/>
    <mergeCell ref="D22:D23"/>
    <mergeCell ref="H22:H23"/>
    <mergeCell ref="L22:L23"/>
    <mergeCell ref="A27:A29"/>
    <mergeCell ref="D28:D29"/>
    <mergeCell ref="H28:H29"/>
    <mergeCell ref="L28:L29"/>
    <mergeCell ref="A24:A26"/>
    <mergeCell ref="D25:D26"/>
    <mergeCell ref="H25:H26"/>
    <mergeCell ref="L25:L26"/>
    <mergeCell ref="A30:A32"/>
    <mergeCell ref="D31:D32"/>
    <mergeCell ref="H31:H32"/>
    <mergeCell ref="L31:L32"/>
    <mergeCell ref="A36:A38"/>
    <mergeCell ref="D37:D38"/>
    <mergeCell ref="H37:H38"/>
    <mergeCell ref="L37:L38"/>
    <mergeCell ref="A33:A35"/>
    <mergeCell ref="D34:D35"/>
    <mergeCell ref="H34:H35"/>
  </mergeCells>
  <conditionalFormatting sqref="C10">
    <cfRule type="colorScale" priority="40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13">
    <cfRule type="colorScale" priority="37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16">
    <cfRule type="colorScale" priority="34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19">
    <cfRule type="colorScale" priority="31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22">
    <cfRule type="colorScale" priority="28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25">
    <cfRule type="colorScale" priority="6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28">
    <cfRule type="colorScale" priority="22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31">
    <cfRule type="colorScale" priority="19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34">
    <cfRule type="colorScale" priority="3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37">
    <cfRule type="colorScale" priority="16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E40">
    <cfRule type="colorScale" priority="7">
      <colorScale>
        <cfvo type="num" val="0"/>
        <cfvo type="num" val="1"/>
        <cfvo type="num" val="2"/>
        <color rgb="FFC00000"/>
        <color theme="7"/>
        <color theme="9"/>
      </colorScale>
    </cfRule>
  </conditionalFormatting>
  <conditionalFormatting sqref="G10">
    <cfRule type="colorScale" priority="39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13">
    <cfRule type="colorScale" priority="36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16">
    <cfRule type="colorScale" priority="33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19">
    <cfRule type="colorScale" priority="30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22">
    <cfRule type="colorScale" priority="27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25">
    <cfRule type="colorScale" priority="5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28">
    <cfRule type="colorScale" priority="21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31">
    <cfRule type="colorScale" priority="18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34">
    <cfRule type="colorScale" priority="2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37">
    <cfRule type="colorScale" priority="15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10">
    <cfRule type="colorScale" priority="38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13">
    <cfRule type="colorScale" priority="35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16">
    <cfRule type="colorScale" priority="32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19">
    <cfRule type="colorScale" priority="29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22">
    <cfRule type="colorScale" priority="26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25">
    <cfRule type="colorScale" priority="4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28">
    <cfRule type="colorScale" priority="20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31">
    <cfRule type="colorScale" priority="17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34">
    <cfRule type="colorScale" priority="1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37">
    <cfRule type="colorScale" priority="14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35"/>
  <sheetViews>
    <sheetView topLeftCell="A28" workbookViewId="0">
      <selection activeCell="P32" sqref="P32"/>
    </sheetView>
  </sheetViews>
  <sheetFormatPr baseColWidth="10" defaultColWidth="9.140625" defaultRowHeight="15"/>
  <cols>
    <col min="1" max="1" width="20.140625" style="1" customWidth="1"/>
    <col min="2" max="2" width="1" style="1" customWidth="1"/>
    <col min="3" max="3" width="3.7109375" style="1" customWidth="1"/>
    <col min="4" max="4" width="30.7109375" style="1" customWidth="1"/>
    <col min="5" max="5" width="3.7109375" style="1" customWidth="1"/>
    <col min="6" max="6" width="1" style="1" customWidth="1"/>
    <col min="7" max="7" width="3.7109375" style="1" customWidth="1"/>
    <col min="8" max="8" width="30.7109375" style="1" customWidth="1"/>
    <col min="9" max="9" width="3.7109375" style="1" customWidth="1"/>
    <col min="10" max="10" width="1" style="1" customWidth="1"/>
    <col min="11" max="11" width="3.7109375" style="1" customWidth="1"/>
    <col min="12" max="12" width="30.7109375" style="1" customWidth="1"/>
    <col min="13" max="13" width="3.7109375" style="1" customWidth="1"/>
    <col min="14" max="16384" width="9.140625" style="1"/>
  </cols>
  <sheetData>
    <row r="2" spans="1:13">
      <c r="A2" s="120" t="s">
        <v>644</v>
      </c>
      <c r="B2" s="120"/>
      <c r="C2" s="120"/>
      <c r="D2" s="120"/>
      <c r="E2" s="120"/>
      <c r="F2" s="120"/>
      <c r="G2" s="120"/>
      <c r="H2" s="1" t="s">
        <v>704</v>
      </c>
      <c r="I2" s="120" t="s">
        <v>645</v>
      </c>
      <c r="J2" s="120"/>
      <c r="K2" s="120"/>
      <c r="L2" s="120"/>
    </row>
    <row r="3" spans="1:13" ht="15.75" thickBot="1"/>
    <row r="4" spans="1:13" ht="18.75">
      <c r="A4" s="130" t="s">
        <v>0</v>
      </c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2"/>
    </row>
    <row r="5" spans="1:13" ht="18.75">
      <c r="A5" s="133" t="s">
        <v>62</v>
      </c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5"/>
    </row>
    <row r="6" spans="1:13" ht="19.5" thickBot="1">
      <c r="A6" s="136" t="s">
        <v>64</v>
      </c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8"/>
    </row>
    <row r="7" spans="1:13" ht="12" customHeight="1" thickBot="1">
      <c r="A7" s="102" t="s">
        <v>3</v>
      </c>
      <c r="B7" s="37"/>
      <c r="C7" s="38"/>
      <c r="D7" s="104" t="s">
        <v>5</v>
      </c>
      <c r="E7" s="39">
        <v>0</v>
      </c>
      <c r="F7" s="40"/>
      <c r="G7" s="41"/>
      <c r="H7" s="106" t="s">
        <v>6</v>
      </c>
      <c r="I7" s="95">
        <v>1</v>
      </c>
      <c r="J7" s="40"/>
      <c r="K7" s="41"/>
      <c r="L7" s="104" t="s">
        <v>7</v>
      </c>
      <c r="M7" s="43">
        <v>2</v>
      </c>
    </row>
    <row r="8" spans="1:13" ht="16.5" thickBot="1">
      <c r="A8" s="103"/>
      <c r="B8" s="44"/>
      <c r="C8" s="45"/>
      <c r="D8" s="105"/>
      <c r="E8" s="46"/>
      <c r="F8" s="47"/>
      <c r="G8" s="48"/>
      <c r="H8" s="107"/>
      <c r="I8" s="48"/>
      <c r="J8" s="47"/>
      <c r="K8" s="48"/>
      <c r="L8" s="105"/>
      <c r="M8" s="49"/>
    </row>
    <row r="9" spans="1:13" ht="6" customHeight="1" thickBot="1">
      <c r="A9" s="98" t="s">
        <v>105</v>
      </c>
      <c r="B9" s="15"/>
      <c r="C9" s="16"/>
      <c r="D9" s="17"/>
      <c r="E9" s="18"/>
      <c r="F9" s="19"/>
      <c r="G9" s="20"/>
      <c r="H9" s="21"/>
      <c r="I9" s="20"/>
      <c r="J9" s="19"/>
      <c r="K9" s="20"/>
      <c r="L9" s="17"/>
      <c r="M9" s="22"/>
    </row>
    <row r="10" spans="1:13" ht="13.5" customHeight="1" thickBot="1">
      <c r="A10" s="96"/>
      <c r="B10" s="23"/>
      <c r="C10" s="24"/>
      <c r="D10" s="117" t="s">
        <v>309</v>
      </c>
      <c r="E10" s="25"/>
      <c r="F10" s="23"/>
      <c r="G10" s="24">
        <v>1</v>
      </c>
      <c r="H10" s="117" t="s">
        <v>318</v>
      </c>
      <c r="J10" s="23"/>
      <c r="K10" s="24"/>
      <c r="L10" s="117" t="s">
        <v>317</v>
      </c>
      <c r="M10" s="25"/>
    </row>
    <row r="11" spans="1:13" ht="122.25" customHeight="1" thickBot="1">
      <c r="A11" s="97"/>
      <c r="B11" s="26"/>
      <c r="C11" s="27"/>
      <c r="D11" s="118"/>
      <c r="E11" s="28"/>
      <c r="F11" s="26"/>
      <c r="G11" s="27"/>
      <c r="H11" s="118"/>
      <c r="I11" s="27"/>
      <c r="J11" s="26"/>
      <c r="K11" s="27"/>
      <c r="L11" s="118"/>
      <c r="M11" s="28"/>
    </row>
    <row r="12" spans="1:13" ht="6" customHeight="1" thickBot="1">
      <c r="A12" s="98" t="s">
        <v>106</v>
      </c>
      <c r="B12" s="29"/>
      <c r="C12" s="30"/>
      <c r="D12" s="31"/>
      <c r="E12" s="32"/>
      <c r="F12" s="33"/>
      <c r="G12" s="34"/>
      <c r="H12" s="35"/>
      <c r="I12" s="32"/>
      <c r="J12" s="33"/>
      <c r="K12" s="34"/>
      <c r="L12" s="31"/>
      <c r="M12" s="25"/>
    </row>
    <row r="13" spans="1:13" ht="15.75" thickBot="1">
      <c r="A13" s="96"/>
      <c r="B13" s="23"/>
      <c r="C13" s="24"/>
      <c r="D13" s="117" t="s">
        <v>310</v>
      </c>
      <c r="E13" s="25"/>
      <c r="F13" s="23"/>
      <c r="G13" s="24">
        <v>1</v>
      </c>
      <c r="H13" s="117" t="s">
        <v>321</v>
      </c>
      <c r="I13" s="25"/>
      <c r="J13" s="23"/>
      <c r="K13" s="24"/>
      <c r="L13" s="117" t="s">
        <v>320</v>
      </c>
      <c r="M13" s="25"/>
    </row>
    <row r="14" spans="1:13" ht="53.25" customHeight="1" thickBot="1">
      <c r="A14" s="97"/>
      <c r="B14" s="23"/>
      <c r="D14" s="117"/>
      <c r="E14" s="25"/>
      <c r="F14" s="23"/>
      <c r="H14" s="117"/>
      <c r="I14" s="25"/>
      <c r="J14" s="23"/>
      <c r="L14" s="117"/>
      <c r="M14" s="25"/>
    </row>
    <row r="15" spans="1:13" ht="6" customHeight="1" thickBot="1">
      <c r="A15" s="99" t="s">
        <v>107</v>
      </c>
      <c r="B15" s="15"/>
      <c r="C15" s="16"/>
      <c r="D15" s="17"/>
      <c r="E15" s="18"/>
      <c r="F15" s="19"/>
      <c r="G15" s="20"/>
      <c r="H15" s="21"/>
      <c r="I15" s="18"/>
      <c r="J15" s="19"/>
      <c r="K15" s="20"/>
      <c r="L15" s="17"/>
      <c r="M15" s="22"/>
    </row>
    <row r="16" spans="1:13" ht="15.75" thickBot="1">
      <c r="A16" s="100"/>
      <c r="B16" s="23"/>
      <c r="C16" s="24"/>
      <c r="D16" s="117" t="s">
        <v>311</v>
      </c>
      <c r="E16" s="25"/>
      <c r="F16" s="23"/>
      <c r="G16" s="24">
        <v>1</v>
      </c>
      <c r="H16" s="117" t="s">
        <v>322</v>
      </c>
      <c r="I16" s="25"/>
      <c r="J16" s="23"/>
      <c r="K16" s="24"/>
      <c r="L16" s="117" t="s">
        <v>323</v>
      </c>
      <c r="M16" s="25"/>
    </row>
    <row r="17" spans="1:13" ht="49.5" customHeight="1" thickBot="1">
      <c r="A17" s="101"/>
      <c r="B17" s="26"/>
      <c r="C17" s="27"/>
      <c r="D17" s="118"/>
      <c r="E17" s="28"/>
      <c r="F17" s="26"/>
      <c r="G17" s="27"/>
      <c r="H17" s="118"/>
      <c r="I17" s="28"/>
      <c r="J17" s="26"/>
      <c r="K17" s="27"/>
      <c r="L17" s="118"/>
      <c r="M17" s="28"/>
    </row>
    <row r="18" spans="1:13" ht="6" customHeight="1" thickBot="1">
      <c r="A18" s="98" t="s">
        <v>108</v>
      </c>
      <c r="B18" s="15"/>
      <c r="C18" s="16"/>
      <c r="D18" s="17"/>
      <c r="E18" s="18"/>
      <c r="F18" s="19"/>
      <c r="G18" s="20"/>
      <c r="H18" s="21"/>
      <c r="I18" s="18"/>
      <c r="J18" s="19"/>
      <c r="K18" s="20"/>
      <c r="L18" s="17"/>
      <c r="M18" s="22"/>
    </row>
    <row r="19" spans="1:13" ht="15" customHeight="1" thickBot="1">
      <c r="A19" s="96"/>
      <c r="B19" s="23"/>
      <c r="C19" s="24"/>
      <c r="D19" s="117" t="s">
        <v>312</v>
      </c>
      <c r="E19" s="25"/>
      <c r="F19" s="23"/>
      <c r="G19" s="24">
        <v>1</v>
      </c>
      <c r="H19" s="117" t="s">
        <v>324</v>
      </c>
      <c r="I19" s="25"/>
      <c r="J19" s="23"/>
      <c r="K19" s="24"/>
      <c r="L19" s="117" t="s">
        <v>323</v>
      </c>
      <c r="M19" s="25"/>
    </row>
    <row r="20" spans="1:13" ht="63.75" customHeight="1" thickBot="1">
      <c r="A20" s="97"/>
      <c r="B20" s="26"/>
      <c r="C20" s="27"/>
      <c r="D20" s="118"/>
      <c r="E20" s="28"/>
      <c r="F20" s="26"/>
      <c r="G20" s="27"/>
      <c r="H20" s="118"/>
      <c r="I20" s="28"/>
      <c r="J20" s="26"/>
      <c r="K20" s="27"/>
      <c r="L20" s="118"/>
      <c r="M20" s="28"/>
    </row>
    <row r="21" spans="1:13" ht="6" customHeight="1" thickBot="1">
      <c r="A21" s="99" t="s">
        <v>109</v>
      </c>
      <c r="B21" s="15"/>
      <c r="C21" s="16"/>
      <c r="D21" s="17"/>
      <c r="E21" s="18"/>
      <c r="F21" s="19"/>
      <c r="G21" s="20"/>
      <c r="H21" s="21"/>
      <c r="I21" s="18"/>
      <c r="J21" s="19"/>
      <c r="K21" s="20"/>
      <c r="L21" s="17"/>
      <c r="M21" s="22"/>
    </row>
    <row r="22" spans="1:13" ht="15.75" thickBot="1">
      <c r="A22" s="100"/>
      <c r="B22" s="23"/>
      <c r="C22" s="24"/>
      <c r="D22" s="117" t="s">
        <v>313</v>
      </c>
      <c r="E22" s="25"/>
      <c r="F22" s="23"/>
      <c r="G22" s="24"/>
      <c r="H22" s="117" t="s">
        <v>327</v>
      </c>
      <c r="I22" s="25"/>
      <c r="J22" s="23"/>
      <c r="K22" s="24">
        <v>2</v>
      </c>
      <c r="L22" s="117" t="s">
        <v>325</v>
      </c>
      <c r="M22" s="25"/>
    </row>
    <row r="23" spans="1:13" ht="78.75" customHeight="1" thickBot="1">
      <c r="A23" s="101"/>
      <c r="B23" s="26"/>
      <c r="C23" s="27"/>
      <c r="D23" s="118"/>
      <c r="E23" s="28"/>
      <c r="F23" s="26"/>
      <c r="G23" s="27"/>
      <c r="H23" s="118"/>
      <c r="I23" s="28"/>
      <c r="J23" s="26"/>
      <c r="K23" s="27"/>
      <c r="L23" s="118"/>
      <c r="M23" s="28"/>
    </row>
    <row r="24" spans="1:13" ht="6" customHeight="1" thickBot="1">
      <c r="A24" s="99" t="s">
        <v>308</v>
      </c>
      <c r="B24" s="15"/>
      <c r="C24" s="16"/>
      <c r="D24" s="17"/>
      <c r="E24" s="18"/>
      <c r="F24" s="19"/>
      <c r="G24" s="20"/>
      <c r="H24" s="21"/>
      <c r="I24" s="18"/>
      <c r="J24" s="19"/>
      <c r="K24" s="20"/>
      <c r="L24" s="17"/>
      <c r="M24" s="22"/>
    </row>
    <row r="25" spans="1:13" ht="15.75" customHeight="1" thickBot="1">
      <c r="A25" s="100"/>
      <c r="B25" s="23"/>
      <c r="C25" s="24"/>
      <c r="D25" s="117" t="s">
        <v>314</v>
      </c>
      <c r="E25" s="25"/>
      <c r="F25" s="23"/>
      <c r="G25" s="24"/>
      <c r="H25" s="117" t="s">
        <v>328</v>
      </c>
      <c r="I25" s="25"/>
      <c r="J25" s="23"/>
      <c r="K25" s="24">
        <v>2</v>
      </c>
      <c r="L25" s="117" t="s">
        <v>326</v>
      </c>
      <c r="M25" s="25"/>
    </row>
    <row r="26" spans="1:13" ht="78" customHeight="1" thickBot="1">
      <c r="A26" s="101"/>
      <c r="B26" s="26"/>
      <c r="C26" s="27"/>
      <c r="D26" s="118"/>
      <c r="E26" s="28"/>
      <c r="F26" s="26"/>
      <c r="G26" s="27"/>
      <c r="H26" s="118"/>
      <c r="I26" s="28"/>
      <c r="J26" s="26"/>
      <c r="K26" s="27"/>
      <c r="L26" s="118"/>
      <c r="M26" s="28"/>
    </row>
    <row r="27" spans="1:13" ht="6" customHeight="1" thickBot="1">
      <c r="A27" s="99" t="s">
        <v>110</v>
      </c>
      <c r="B27" s="15"/>
      <c r="C27" s="16"/>
      <c r="D27" s="17"/>
      <c r="E27" s="18"/>
      <c r="F27" s="19"/>
      <c r="G27" s="20"/>
      <c r="H27" s="21"/>
      <c r="I27" s="18"/>
      <c r="J27" s="19"/>
      <c r="K27" s="20"/>
      <c r="L27" s="17"/>
      <c r="M27" s="22"/>
    </row>
    <row r="28" spans="1:13" ht="15" customHeight="1" thickBot="1">
      <c r="A28" s="100"/>
      <c r="B28" s="23"/>
      <c r="C28" s="24"/>
      <c r="D28" s="117" t="s">
        <v>315</v>
      </c>
      <c r="E28" s="25"/>
      <c r="F28" s="23"/>
      <c r="G28" s="24"/>
      <c r="H28" s="117" t="s">
        <v>316</v>
      </c>
      <c r="I28" s="25"/>
      <c r="J28" s="23"/>
      <c r="K28" s="24">
        <v>2</v>
      </c>
      <c r="L28" s="117" t="s">
        <v>319</v>
      </c>
      <c r="M28" s="25"/>
    </row>
    <row r="29" spans="1:13" ht="78" customHeight="1" thickBot="1">
      <c r="A29" s="101"/>
      <c r="B29" s="26"/>
      <c r="C29" s="27"/>
      <c r="D29" s="118"/>
      <c r="E29" s="28"/>
      <c r="F29" s="26"/>
      <c r="G29" s="27"/>
      <c r="H29" s="118"/>
      <c r="I29" s="28"/>
      <c r="J29" s="26"/>
      <c r="K29" s="27"/>
      <c r="L29" s="118"/>
      <c r="M29" s="28"/>
    </row>
    <row r="30" spans="1:13" ht="6" customHeight="1" thickBot="1">
      <c r="A30" s="99" t="s">
        <v>539</v>
      </c>
      <c r="B30" s="15"/>
      <c r="C30" s="16"/>
      <c r="D30" s="17"/>
      <c r="E30" s="18"/>
      <c r="F30" s="19"/>
      <c r="G30" s="20"/>
      <c r="H30" s="21"/>
      <c r="I30" s="18"/>
      <c r="J30" s="19"/>
      <c r="K30" s="20"/>
      <c r="L30" s="17"/>
      <c r="M30" s="22"/>
    </row>
    <row r="31" spans="1:13" ht="15" customHeight="1" thickBot="1">
      <c r="A31" s="100"/>
      <c r="B31" s="23"/>
      <c r="C31" s="24"/>
      <c r="D31" s="117" t="s">
        <v>535</v>
      </c>
      <c r="E31" s="25"/>
      <c r="F31" s="23"/>
      <c r="G31" s="24"/>
      <c r="H31" s="117" t="s">
        <v>540</v>
      </c>
      <c r="I31" s="25"/>
      <c r="J31" s="23"/>
      <c r="K31" s="24">
        <v>2</v>
      </c>
      <c r="L31" s="117" t="s">
        <v>541</v>
      </c>
      <c r="M31" s="25"/>
    </row>
    <row r="32" spans="1:13" ht="110.25" customHeight="1" thickBot="1">
      <c r="A32" s="101"/>
      <c r="B32" s="26"/>
      <c r="C32" s="27"/>
      <c r="D32" s="118"/>
      <c r="E32" s="28"/>
      <c r="F32" s="26"/>
      <c r="G32" s="27"/>
      <c r="H32" s="118"/>
      <c r="I32" s="28"/>
      <c r="J32" s="26"/>
      <c r="K32" s="27"/>
      <c r="L32" s="118"/>
      <c r="M32" s="28"/>
    </row>
    <row r="33" spans="4:9" ht="15.75" thickBot="1">
      <c r="D33" s="50"/>
      <c r="E33" s="51"/>
      <c r="F33" s="51"/>
      <c r="G33" s="51"/>
      <c r="H33" s="51"/>
      <c r="I33" s="52"/>
    </row>
    <row r="34" spans="4:9" ht="15.75" thickBot="1">
      <c r="D34" s="53" t="s">
        <v>671</v>
      </c>
      <c r="E34" s="59">
        <f>AVERAGE(C10,G10,K10,C13,G13,K13,C16,G16,K16,C19,G19,K19,C25,G25,K25,C31,G31,K31,C22,G22,K22,C28,G28,K28)</f>
        <v>1.5</v>
      </c>
      <c r="F34" s="54"/>
      <c r="G34" s="54"/>
      <c r="H34" s="54"/>
      <c r="I34" s="55"/>
    </row>
    <row r="35" spans="4:9" ht="15.75" thickBot="1">
      <c r="D35" s="56"/>
      <c r="E35" s="57"/>
      <c r="F35" s="57"/>
      <c r="G35" s="57"/>
      <c r="H35" s="57"/>
      <c r="I35" s="58"/>
    </row>
  </sheetData>
  <sheetProtection algorithmName="SHA-512" hashValue="UkG2lYUPJf7vtfKKAnvwfoCUf+CI2kwqpFFM/NVo6BWAHRal/2YpBE3o4HX1Wo/9NbFeAknhGf3b9u7xERBkmg==" saltValue="OZzLsHNWHD0q+pFeZt8d3Q==" spinCount="100000" sheet="1" objects="1" scenarios="1" selectLockedCells="1"/>
  <mergeCells count="41">
    <mergeCell ref="A2:G2"/>
    <mergeCell ref="I2:L2"/>
    <mergeCell ref="A9:A11"/>
    <mergeCell ref="D10:D11"/>
    <mergeCell ref="H10:H11"/>
    <mergeCell ref="L10:L11"/>
    <mergeCell ref="A12:A14"/>
    <mergeCell ref="A4:M4"/>
    <mergeCell ref="A5:M5"/>
    <mergeCell ref="A6:M6"/>
    <mergeCell ref="A7:A8"/>
    <mergeCell ref="D7:D8"/>
    <mergeCell ref="H7:H8"/>
    <mergeCell ref="L7:L8"/>
    <mergeCell ref="D13:D14"/>
    <mergeCell ref="H13:H14"/>
    <mergeCell ref="L13:L14"/>
    <mergeCell ref="A15:A17"/>
    <mergeCell ref="D16:D17"/>
    <mergeCell ref="H16:H17"/>
    <mergeCell ref="L16:L17"/>
    <mergeCell ref="A18:A20"/>
    <mergeCell ref="D19:D20"/>
    <mergeCell ref="H19:H20"/>
    <mergeCell ref="L19:L20"/>
    <mergeCell ref="A21:A23"/>
    <mergeCell ref="D22:D23"/>
    <mergeCell ref="H22:H23"/>
    <mergeCell ref="L22:L23"/>
    <mergeCell ref="A24:A26"/>
    <mergeCell ref="D25:D26"/>
    <mergeCell ref="H25:H26"/>
    <mergeCell ref="L25:L26"/>
    <mergeCell ref="A30:A32"/>
    <mergeCell ref="D31:D32"/>
    <mergeCell ref="H31:H32"/>
    <mergeCell ref="L31:L32"/>
    <mergeCell ref="A27:A29"/>
    <mergeCell ref="D28:D29"/>
    <mergeCell ref="H28:H29"/>
    <mergeCell ref="L28:L29"/>
  </mergeCells>
  <conditionalFormatting sqref="C10">
    <cfRule type="colorScale" priority="40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13">
    <cfRule type="colorScale" priority="37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16">
    <cfRule type="colorScale" priority="34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19">
    <cfRule type="colorScale" priority="31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22">
    <cfRule type="colorScale" priority="28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25">
    <cfRule type="colorScale" priority="22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28">
    <cfRule type="colorScale" priority="6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31">
    <cfRule type="colorScale" priority="3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E34">
    <cfRule type="colorScale" priority="7">
      <colorScale>
        <cfvo type="num" val="0"/>
        <cfvo type="num" val="1"/>
        <cfvo type="num" val="2"/>
        <color rgb="FFC00000"/>
        <color theme="7"/>
        <color theme="9"/>
      </colorScale>
    </cfRule>
  </conditionalFormatting>
  <conditionalFormatting sqref="G10">
    <cfRule type="colorScale" priority="39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13">
    <cfRule type="colorScale" priority="36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16">
    <cfRule type="colorScale" priority="33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19">
    <cfRule type="colorScale" priority="30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22">
    <cfRule type="colorScale" priority="27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25">
    <cfRule type="colorScale" priority="21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28">
    <cfRule type="colorScale" priority="5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31">
    <cfRule type="colorScale" priority="2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10">
    <cfRule type="colorScale" priority="38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13">
    <cfRule type="colorScale" priority="35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16">
    <cfRule type="colorScale" priority="32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19">
    <cfRule type="colorScale" priority="29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22">
    <cfRule type="colorScale" priority="26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25">
    <cfRule type="colorScale" priority="20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28">
    <cfRule type="colorScale" priority="4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31">
    <cfRule type="colorScale" priority="1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6"/>
  <sheetViews>
    <sheetView workbookViewId="0">
      <selection activeCell="R19" sqref="R19"/>
    </sheetView>
  </sheetViews>
  <sheetFormatPr baseColWidth="10" defaultColWidth="9.140625" defaultRowHeight="15"/>
  <cols>
    <col min="1" max="1" width="20.140625" style="1" customWidth="1"/>
    <col min="2" max="2" width="1" style="1" customWidth="1"/>
    <col min="3" max="3" width="3.7109375" style="1" customWidth="1"/>
    <col min="4" max="4" width="30.7109375" style="1" customWidth="1"/>
    <col min="5" max="5" width="3.7109375" style="1" customWidth="1"/>
    <col min="6" max="6" width="1" style="1" customWidth="1"/>
    <col min="7" max="7" width="3.7109375" style="1" customWidth="1"/>
    <col min="8" max="8" width="30.7109375" style="1" customWidth="1"/>
    <col min="9" max="9" width="3.7109375" style="1" customWidth="1"/>
    <col min="10" max="10" width="1" style="1" customWidth="1"/>
    <col min="11" max="11" width="3.7109375" style="1" customWidth="1"/>
    <col min="12" max="12" width="30.7109375" style="1" customWidth="1"/>
    <col min="13" max="13" width="3.7109375" style="1" customWidth="1"/>
    <col min="14" max="16384" width="9.140625" style="1"/>
  </cols>
  <sheetData>
    <row r="2" spans="1:13">
      <c r="A2" s="119" t="s">
        <v>644</v>
      </c>
      <c r="B2" s="119"/>
      <c r="C2" s="119"/>
      <c r="D2" s="119"/>
      <c r="E2" s="119"/>
      <c r="F2" s="119"/>
      <c r="G2" s="119"/>
      <c r="H2" s="1" t="s">
        <v>704</v>
      </c>
      <c r="I2" s="120" t="s">
        <v>645</v>
      </c>
      <c r="J2" s="120"/>
      <c r="K2" s="120"/>
      <c r="L2" s="120"/>
    </row>
    <row r="3" spans="1:13" ht="15.75" thickBot="1"/>
    <row r="4" spans="1:13" ht="18.75">
      <c r="A4" s="130" t="s">
        <v>0</v>
      </c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2"/>
    </row>
    <row r="5" spans="1:13" ht="18.75">
      <c r="A5" s="133" t="s">
        <v>62</v>
      </c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5"/>
    </row>
    <row r="6" spans="1:13" ht="19.5" thickBot="1">
      <c r="A6" s="136" t="s">
        <v>111</v>
      </c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8"/>
    </row>
    <row r="7" spans="1:13" ht="12" customHeight="1" thickBot="1">
      <c r="A7" s="102" t="s">
        <v>3</v>
      </c>
      <c r="B7" s="37"/>
      <c r="C7" s="38"/>
      <c r="D7" s="104" t="s">
        <v>5</v>
      </c>
      <c r="E7" s="39">
        <v>0</v>
      </c>
      <c r="F7" s="40"/>
      <c r="G7" s="41"/>
      <c r="H7" s="106" t="s">
        <v>6</v>
      </c>
      <c r="I7" s="95">
        <v>1</v>
      </c>
      <c r="J7" s="40"/>
      <c r="K7" s="41"/>
      <c r="L7" s="104" t="s">
        <v>7</v>
      </c>
      <c r="M7" s="43">
        <v>2</v>
      </c>
    </row>
    <row r="8" spans="1:13" ht="16.5" thickBot="1">
      <c r="A8" s="103"/>
      <c r="B8" s="44"/>
      <c r="C8" s="45"/>
      <c r="D8" s="105"/>
      <c r="E8" s="46"/>
      <c r="F8" s="47"/>
      <c r="G8" s="48"/>
      <c r="H8" s="107"/>
      <c r="I8" s="48"/>
      <c r="J8" s="47"/>
      <c r="K8" s="48"/>
      <c r="L8" s="105"/>
      <c r="M8" s="49"/>
    </row>
    <row r="9" spans="1:13" ht="6" customHeight="1" thickBot="1">
      <c r="A9" s="99" t="s">
        <v>112</v>
      </c>
      <c r="B9" s="15"/>
      <c r="C9" s="16"/>
      <c r="D9" s="17"/>
      <c r="E9" s="18"/>
      <c r="F9" s="19"/>
      <c r="G9" s="20"/>
      <c r="H9" s="21"/>
      <c r="I9" s="20"/>
      <c r="J9" s="19"/>
      <c r="K9" s="20"/>
      <c r="L9" s="17"/>
      <c r="M9" s="22"/>
    </row>
    <row r="10" spans="1:13" ht="13.5" customHeight="1" thickBot="1">
      <c r="A10" s="100"/>
      <c r="B10" s="23"/>
      <c r="C10" s="24"/>
      <c r="D10" s="117" t="s">
        <v>329</v>
      </c>
      <c r="E10" s="25"/>
      <c r="F10" s="23"/>
      <c r="G10" s="24"/>
      <c r="H10" s="117" t="s">
        <v>346</v>
      </c>
      <c r="J10" s="23"/>
      <c r="K10" s="24">
        <v>2</v>
      </c>
      <c r="L10" s="117" t="s">
        <v>333</v>
      </c>
      <c r="M10" s="25"/>
    </row>
    <row r="11" spans="1:13" ht="81" customHeight="1" thickBot="1">
      <c r="A11" s="101"/>
      <c r="B11" s="26"/>
      <c r="C11" s="27"/>
      <c r="D11" s="118"/>
      <c r="E11" s="28"/>
      <c r="F11" s="26"/>
      <c r="G11" s="27"/>
      <c r="H11" s="118"/>
      <c r="I11" s="27"/>
      <c r="J11" s="26"/>
      <c r="K11" s="27"/>
      <c r="L11" s="118"/>
      <c r="M11" s="28"/>
    </row>
    <row r="12" spans="1:13" ht="6" customHeight="1" thickBot="1">
      <c r="A12" s="99" t="s">
        <v>113</v>
      </c>
      <c r="B12" s="29"/>
      <c r="C12" s="30"/>
      <c r="D12" s="31"/>
      <c r="E12" s="32"/>
      <c r="F12" s="33"/>
      <c r="G12" s="34"/>
      <c r="H12" s="35"/>
      <c r="I12" s="32"/>
      <c r="J12" s="33"/>
      <c r="K12" s="34"/>
      <c r="L12" s="31"/>
      <c r="M12" s="25"/>
    </row>
    <row r="13" spans="1:13" ht="15.75" thickBot="1">
      <c r="A13" s="100"/>
      <c r="B13" s="23"/>
      <c r="C13" s="24"/>
      <c r="D13" s="117" t="s">
        <v>330</v>
      </c>
      <c r="E13" s="25"/>
      <c r="F13" s="23"/>
      <c r="G13" s="24">
        <v>1</v>
      </c>
      <c r="H13" s="117" t="s">
        <v>347</v>
      </c>
      <c r="I13" s="25"/>
      <c r="J13" s="23"/>
      <c r="K13" s="24"/>
      <c r="L13" s="117" t="s">
        <v>334</v>
      </c>
      <c r="M13" s="25"/>
    </row>
    <row r="14" spans="1:13" ht="77.25" customHeight="1" thickBot="1">
      <c r="A14" s="101"/>
      <c r="B14" s="23"/>
      <c r="D14" s="117"/>
      <c r="E14" s="25"/>
      <c r="F14" s="23"/>
      <c r="H14" s="117"/>
      <c r="I14" s="25"/>
      <c r="J14" s="23"/>
      <c r="L14" s="117"/>
      <c r="M14" s="25"/>
    </row>
    <row r="15" spans="1:13" ht="6" customHeight="1" thickBot="1">
      <c r="A15" s="99" t="s">
        <v>114</v>
      </c>
      <c r="B15" s="15"/>
      <c r="C15" s="16"/>
      <c r="D15" s="17"/>
      <c r="E15" s="18"/>
      <c r="F15" s="19"/>
      <c r="G15" s="20"/>
      <c r="H15" s="21"/>
      <c r="I15" s="18"/>
      <c r="J15" s="19"/>
      <c r="K15" s="20"/>
      <c r="L15" s="17"/>
      <c r="M15" s="22"/>
    </row>
    <row r="16" spans="1:13" ht="15.75" thickBot="1">
      <c r="A16" s="100"/>
      <c r="B16" s="23"/>
      <c r="C16" s="24"/>
      <c r="D16" s="117" t="s">
        <v>331</v>
      </c>
      <c r="E16" s="25"/>
      <c r="F16" s="23"/>
      <c r="G16" s="24"/>
      <c r="H16" s="117" t="s">
        <v>337</v>
      </c>
      <c r="I16" s="25"/>
      <c r="J16" s="23"/>
      <c r="K16" s="24">
        <v>2</v>
      </c>
      <c r="L16" s="117" t="s">
        <v>335</v>
      </c>
      <c r="M16" s="25"/>
    </row>
    <row r="17" spans="1:13" ht="50.25" customHeight="1" thickBot="1">
      <c r="A17" s="101"/>
      <c r="B17" s="26"/>
      <c r="C17" s="27"/>
      <c r="D17" s="118"/>
      <c r="E17" s="28"/>
      <c r="F17" s="26"/>
      <c r="G17" s="27"/>
      <c r="H17" s="118"/>
      <c r="I17" s="28"/>
      <c r="J17" s="26"/>
      <c r="K17" s="27"/>
      <c r="L17" s="118"/>
      <c r="M17" s="28"/>
    </row>
    <row r="18" spans="1:13" ht="6" customHeight="1" thickBot="1">
      <c r="A18" s="99" t="s">
        <v>115</v>
      </c>
      <c r="B18" s="15"/>
      <c r="C18" s="16"/>
      <c r="D18" s="17"/>
      <c r="E18" s="18"/>
      <c r="F18" s="19"/>
      <c r="G18" s="20"/>
      <c r="H18" s="21"/>
      <c r="I18" s="18"/>
      <c r="J18" s="19"/>
      <c r="K18" s="20"/>
      <c r="L18" s="17"/>
      <c r="M18" s="22"/>
    </row>
    <row r="19" spans="1:13" ht="15" customHeight="1" thickBot="1">
      <c r="A19" s="100"/>
      <c r="B19" s="23"/>
      <c r="C19" s="24"/>
      <c r="D19" s="117" t="s">
        <v>332</v>
      </c>
      <c r="E19" s="25"/>
      <c r="F19" s="23"/>
      <c r="G19" s="24"/>
      <c r="H19" s="117" t="s">
        <v>348</v>
      </c>
      <c r="I19" s="25"/>
      <c r="J19" s="23"/>
      <c r="K19" s="24">
        <v>2</v>
      </c>
      <c r="L19" s="117" t="s">
        <v>336</v>
      </c>
      <c r="M19" s="25"/>
    </row>
    <row r="20" spans="1:13" ht="50.25" customHeight="1" thickBot="1">
      <c r="A20" s="101"/>
      <c r="B20" s="26"/>
      <c r="C20" s="27"/>
      <c r="D20" s="118"/>
      <c r="E20" s="28"/>
      <c r="F20" s="26"/>
      <c r="G20" s="27"/>
      <c r="H20" s="118"/>
      <c r="I20" s="28"/>
      <c r="J20" s="26"/>
      <c r="K20" s="27"/>
      <c r="L20" s="118"/>
      <c r="M20" s="28"/>
    </row>
    <row r="21" spans="1:13" ht="6" customHeight="1" thickBot="1">
      <c r="A21" s="99" t="s">
        <v>542</v>
      </c>
      <c r="B21" s="15"/>
      <c r="C21" s="16"/>
      <c r="D21" s="17"/>
      <c r="E21" s="18"/>
      <c r="F21" s="19"/>
      <c r="G21" s="20"/>
      <c r="H21" s="21"/>
      <c r="I21" s="18"/>
      <c r="J21" s="19"/>
      <c r="K21" s="20"/>
      <c r="L21" s="17"/>
      <c r="M21" s="22"/>
    </row>
    <row r="22" spans="1:13" ht="15" customHeight="1" thickBot="1">
      <c r="A22" s="100"/>
      <c r="B22" s="23"/>
      <c r="C22" s="24"/>
      <c r="D22" s="117" t="s">
        <v>535</v>
      </c>
      <c r="E22" s="25"/>
      <c r="F22" s="23"/>
      <c r="G22" s="24"/>
      <c r="H22" s="117" t="s">
        <v>543</v>
      </c>
      <c r="I22" s="25"/>
      <c r="J22" s="23"/>
      <c r="K22" s="24">
        <v>2</v>
      </c>
      <c r="L22" s="117" t="s">
        <v>544</v>
      </c>
      <c r="M22" s="25"/>
    </row>
    <row r="23" spans="1:13" ht="110.25" customHeight="1" thickBot="1">
      <c r="A23" s="101"/>
      <c r="B23" s="26"/>
      <c r="C23" s="27"/>
      <c r="D23" s="118"/>
      <c r="E23" s="28"/>
      <c r="F23" s="26"/>
      <c r="G23" s="27"/>
      <c r="H23" s="118"/>
      <c r="I23" s="28"/>
      <c r="J23" s="26"/>
      <c r="K23" s="27"/>
      <c r="L23" s="118"/>
      <c r="M23" s="28"/>
    </row>
    <row r="24" spans="1:13" ht="15.75" thickBot="1">
      <c r="D24" s="50"/>
      <c r="E24" s="51"/>
      <c r="F24" s="51"/>
      <c r="G24" s="51"/>
      <c r="H24" s="51"/>
      <c r="I24" s="52"/>
    </row>
    <row r="25" spans="1:13" ht="15.75" thickBot="1">
      <c r="D25" s="53" t="s">
        <v>672</v>
      </c>
      <c r="E25" s="59">
        <f>AVERAGE(C10,G10,K10,C13,G13,K13,C16,G16,K16,C22,G22,K22,C19,G19,K19)</f>
        <v>1.8</v>
      </c>
      <c r="F25" s="54"/>
      <c r="G25" s="54"/>
      <c r="H25" s="54"/>
      <c r="I25" s="55"/>
    </row>
    <row r="26" spans="1:13" ht="15.75" thickBot="1">
      <c r="D26" s="56"/>
      <c r="E26" s="57"/>
      <c r="F26" s="57"/>
      <c r="G26" s="57"/>
      <c r="H26" s="57"/>
      <c r="I26" s="58"/>
    </row>
  </sheetData>
  <sheetProtection algorithmName="SHA-512" hashValue="HcwwWddvMTkBYXa6eFaOx+acWx8voOCu+iouZvYs1QsIEORacHzuV0/tnt1ASmmOc4ObxqdTzB2svaJYtsl3RA==" saltValue="ZiY1CfDm+shlIGFrUgJ7mA==" spinCount="100000" sheet="1" objects="1" scenarios="1" selectLockedCells="1"/>
  <mergeCells count="29">
    <mergeCell ref="A2:G2"/>
    <mergeCell ref="I2:L2"/>
    <mergeCell ref="A4:M4"/>
    <mergeCell ref="A5:M5"/>
    <mergeCell ref="A6:M6"/>
    <mergeCell ref="A7:A8"/>
    <mergeCell ref="D7:D8"/>
    <mergeCell ref="H7:H8"/>
    <mergeCell ref="L7:L8"/>
    <mergeCell ref="A9:A11"/>
    <mergeCell ref="D10:D11"/>
    <mergeCell ref="H10:H11"/>
    <mergeCell ref="L10:L11"/>
    <mergeCell ref="A12:A14"/>
    <mergeCell ref="D13:D14"/>
    <mergeCell ref="H13:H14"/>
    <mergeCell ref="L13:L14"/>
    <mergeCell ref="A15:A17"/>
    <mergeCell ref="D16:D17"/>
    <mergeCell ref="H16:H17"/>
    <mergeCell ref="L16:L17"/>
    <mergeCell ref="A21:A23"/>
    <mergeCell ref="D22:D23"/>
    <mergeCell ref="H22:H23"/>
    <mergeCell ref="L22:L23"/>
    <mergeCell ref="A18:A20"/>
    <mergeCell ref="D19:D20"/>
    <mergeCell ref="H19:H20"/>
    <mergeCell ref="L19:L20"/>
  </mergeCells>
  <conditionalFormatting sqref="C10">
    <cfRule type="colorScale" priority="40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13">
    <cfRule type="colorScale" priority="37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16">
    <cfRule type="colorScale" priority="34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19">
    <cfRule type="colorScale" priority="6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22">
    <cfRule type="colorScale" priority="3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E25">
    <cfRule type="colorScale" priority="7">
      <colorScale>
        <cfvo type="num" val="0"/>
        <cfvo type="num" val="1"/>
        <cfvo type="num" val="2"/>
        <color rgb="FFC00000"/>
        <color theme="7"/>
        <color theme="9"/>
      </colorScale>
    </cfRule>
  </conditionalFormatting>
  <conditionalFormatting sqref="G10">
    <cfRule type="colorScale" priority="39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13">
    <cfRule type="colorScale" priority="36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16">
    <cfRule type="colorScale" priority="33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19">
    <cfRule type="colorScale" priority="5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22">
    <cfRule type="colorScale" priority="2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10">
    <cfRule type="colorScale" priority="38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13">
    <cfRule type="colorScale" priority="35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16">
    <cfRule type="colorScale" priority="32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19">
    <cfRule type="colorScale" priority="4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22">
    <cfRule type="colorScale" priority="1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9"/>
  <sheetViews>
    <sheetView workbookViewId="0">
      <selection activeCell="N25" sqref="N25"/>
    </sheetView>
  </sheetViews>
  <sheetFormatPr baseColWidth="10" defaultColWidth="9.140625" defaultRowHeight="15"/>
  <cols>
    <col min="1" max="1" width="20.140625" style="1" customWidth="1"/>
    <col min="2" max="2" width="1" style="1" customWidth="1"/>
    <col min="3" max="3" width="3.7109375" style="1" customWidth="1"/>
    <col min="4" max="4" width="30.7109375" style="1" customWidth="1"/>
    <col min="5" max="5" width="3.7109375" style="1" customWidth="1"/>
    <col min="6" max="6" width="1" style="1" customWidth="1"/>
    <col min="7" max="7" width="3.7109375" style="1" customWidth="1"/>
    <col min="8" max="8" width="30.7109375" style="1" customWidth="1"/>
    <col min="9" max="9" width="3.7109375" style="1" customWidth="1"/>
    <col min="10" max="10" width="1" style="1" customWidth="1"/>
    <col min="11" max="11" width="3.7109375" style="1" customWidth="1"/>
    <col min="12" max="12" width="30.7109375" style="1" customWidth="1"/>
    <col min="13" max="13" width="3.7109375" style="1" customWidth="1"/>
    <col min="14" max="16384" width="9.140625" style="1"/>
  </cols>
  <sheetData>
    <row r="2" spans="1:13">
      <c r="A2" s="119" t="s">
        <v>644</v>
      </c>
      <c r="B2" s="119"/>
      <c r="C2" s="119"/>
      <c r="D2" s="119"/>
      <c r="E2" s="119"/>
      <c r="F2" s="119"/>
      <c r="G2" s="119"/>
      <c r="H2" s="1" t="s">
        <v>704</v>
      </c>
      <c r="I2" s="120" t="s">
        <v>645</v>
      </c>
      <c r="J2" s="120"/>
      <c r="K2" s="120"/>
      <c r="L2" s="120"/>
    </row>
    <row r="3" spans="1:13" ht="15.75" thickBot="1"/>
    <row r="4" spans="1:13" ht="18.75">
      <c r="A4" s="130" t="s">
        <v>0</v>
      </c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2"/>
    </row>
    <row r="5" spans="1:13" ht="18.75">
      <c r="A5" s="133" t="s">
        <v>62</v>
      </c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5"/>
    </row>
    <row r="6" spans="1:13" ht="19.5" thickBot="1">
      <c r="A6" s="136" t="s">
        <v>338</v>
      </c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8"/>
    </row>
    <row r="7" spans="1:13" ht="12" customHeight="1" thickBot="1">
      <c r="A7" s="102" t="s">
        <v>3</v>
      </c>
      <c r="B7" s="37"/>
      <c r="C7" s="38"/>
      <c r="D7" s="104" t="s">
        <v>5</v>
      </c>
      <c r="E7" s="39">
        <v>0</v>
      </c>
      <c r="F7" s="40"/>
      <c r="G7" s="41"/>
      <c r="H7" s="106" t="s">
        <v>6</v>
      </c>
      <c r="I7" s="95">
        <v>1</v>
      </c>
      <c r="J7" s="40"/>
      <c r="K7" s="41"/>
      <c r="L7" s="104" t="s">
        <v>7</v>
      </c>
      <c r="M7" s="43">
        <v>2</v>
      </c>
    </row>
    <row r="8" spans="1:13" ht="16.5" thickBot="1">
      <c r="A8" s="103"/>
      <c r="B8" s="44"/>
      <c r="C8" s="45"/>
      <c r="D8" s="105"/>
      <c r="E8" s="46"/>
      <c r="F8" s="47"/>
      <c r="G8" s="48"/>
      <c r="H8" s="107"/>
      <c r="I8" s="48"/>
      <c r="J8" s="47"/>
      <c r="K8" s="48"/>
      <c r="L8" s="105"/>
      <c r="M8" s="49"/>
    </row>
    <row r="9" spans="1:13" ht="6" customHeight="1" thickBot="1">
      <c r="A9" s="99" t="s">
        <v>339</v>
      </c>
      <c r="B9" s="15"/>
      <c r="C9" s="16"/>
      <c r="D9" s="17"/>
      <c r="E9" s="18"/>
      <c r="F9" s="19"/>
      <c r="G9" s="20"/>
      <c r="H9" s="21"/>
      <c r="I9" s="20"/>
      <c r="J9" s="19"/>
      <c r="K9" s="20"/>
      <c r="L9" s="17"/>
      <c r="M9" s="22"/>
    </row>
    <row r="10" spans="1:13" ht="13.5" customHeight="1" thickBot="1">
      <c r="A10" s="100"/>
      <c r="B10" s="23"/>
      <c r="C10" s="24"/>
      <c r="D10" s="117" t="s">
        <v>341</v>
      </c>
      <c r="E10" s="25"/>
      <c r="F10" s="23"/>
      <c r="G10" s="24">
        <v>1</v>
      </c>
      <c r="H10" s="117" t="s">
        <v>349</v>
      </c>
      <c r="J10" s="23"/>
      <c r="K10" s="24"/>
      <c r="L10" s="117" t="s">
        <v>350</v>
      </c>
      <c r="M10" s="25"/>
    </row>
    <row r="11" spans="1:13" ht="64.5" customHeight="1" thickBot="1">
      <c r="A11" s="101"/>
      <c r="B11" s="26"/>
      <c r="C11" s="27"/>
      <c r="D11" s="118"/>
      <c r="E11" s="28"/>
      <c r="F11" s="26"/>
      <c r="G11" s="27"/>
      <c r="H11" s="118"/>
      <c r="I11" s="27"/>
      <c r="J11" s="26"/>
      <c r="K11" s="27"/>
      <c r="L11" s="118"/>
      <c r="M11" s="28"/>
    </row>
    <row r="12" spans="1:13" ht="6" customHeight="1" thickBot="1">
      <c r="A12" s="99" t="s">
        <v>340</v>
      </c>
      <c r="B12" s="29"/>
      <c r="C12" s="30"/>
      <c r="D12" s="31"/>
      <c r="E12" s="32"/>
      <c r="F12" s="33"/>
      <c r="G12" s="34"/>
      <c r="H12" s="35"/>
      <c r="I12" s="32"/>
      <c r="J12" s="33"/>
      <c r="K12" s="34"/>
      <c r="L12" s="31"/>
      <c r="M12" s="25"/>
    </row>
    <row r="13" spans="1:13" ht="15.75" thickBot="1">
      <c r="A13" s="100"/>
      <c r="B13" s="23"/>
      <c r="C13" s="24"/>
      <c r="D13" s="117" t="s">
        <v>342</v>
      </c>
      <c r="E13" s="25"/>
      <c r="F13" s="23"/>
      <c r="G13" s="24">
        <v>1</v>
      </c>
      <c r="H13" s="117" t="s">
        <v>351</v>
      </c>
      <c r="I13" s="25"/>
      <c r="J13" s="23"/>
      <c r="K13" s="24"/>
      <c r="L13" s="117" t="s">
        <v>352</v>
      </c>
      <c r="M13" s="25"/>
    </row>
    <row r="14" spans="1:13" ht="80.25" customHeight="1" thickBot="1">
      <c r="A14" s="101"/>
      <c r="B14" s="23"/>
      <c r="D14" s="117"/>
      <c r="E14" s="25"/>
      <c r="F14" s="23"/>
      <c r="H14" s="117"/>
      <c r="I14" s="25"/>
      <c r="J14" s="23"/>
      <c r="L14" s="117"/>
      <c r="M14" s="25"/>
    </row>
    <row r="15" spans="1:13" ht="6" customHeight="1" thickBot="1">
      <c r="A15" s="99" t="s">
        <v>116</v>
      </c>
      <c r="B15" s="15"/>
      <c r="C15" s="16"/>
      <c r="D15" s="17"/>
      <c r="E15" s="18"/>
      <c r="F15" s="19"/>
      <c r="G15" s="20"/>
      <c r="H15" s="21"/>
      <c r="I15" s="18"/>
      <c r="J15" s="19"/>
      <c r="K15" s="20"/>
      <c r="L15" s="17"/>
      <c r="M15" s="22"/>
    </row>
    <row r="16" spans="1:13" ht="15.75" thickBot="1">
      <c r="A16" s="100"/>
      <c r="B16" s="23"/>
      <c r="C16" s="24"/>
      <c r="D16" s="117" t="s">
        <v>343</v>
      </c>
      <c r="E16" s="25"/>
      <c r="F16" s="23"/>
      <c r="G16" s="24">
        <v>1</v>
      </c>
      <c r="H16" s="117" t="s">
        <v>353</v>
      </c>
      <c r="I16" s="25"/>
      <c r="J16" s="23"/>
      <c r="K16" s="24"/>
      <c r="L16" s="117" t="s">
        <v>354</v>
      </c>
      <c r="M16" s="25"/>
    </row>
    <row r="17" spans="1:13" ht="51" customHeight="1" thickBot="1">
      <c r="A17" s="101"/>
      <c r="B17" s="26"/>
      <c r="C17" s="27"/>
      <c r="D17" s="118"/>
      <c r="E17" s="28"/>
      <c r="F17" s="26"/>
      <c r="G17" s="27"/>
      <c r="H17" s="118"/>
      <c r="I17" s="28"/>
      <c r="J17" s="26"/>
      <c r="K17" s="27"/>
      <c r="L17" s="118"/>
      <c r="M17" s="28"/>
    </row>
    <row r="18" spans="1:13" ht="6" customHeight="1" thickBot="1">
      <c r="A18" s="99" t="s">
        <v>118</v>
      </c>
      <c r="B18" s="15"/>
      <c r="C18" s="16"/>
      <c r="D18" s="17"/>
      <c r="E18" s="18"/>
      <c r="F18" s="19"/>
      <c r="G18" s="20"/>
      <c r="H18" s="21"/>
      <c r="I18" s="18"/>
      <c r="J18" s="19"/>
      <c r="K18" s="20"/>
      <c r="L18" s="17"/>
      <c r="M18" s="22"/>
    </row>
    <row r="19" spans="1:13" ht="15" customHeight="1" thickBot="1">
      <c r="A19" s="100"/>
      <c r="B19" s="23"/>
      <c r="C19" s="24">
        <v>0</v>
      </c>
      <c r="D19" s="117" t="s">
        <v>344</v>
      </c>
      <c r="E19" s="25"/>
      <c r="F19" s="23"/>
      <c r="G19" s="24"/>
      <c r="H19" s="117" t="s">
        <v>357</v>
      </c>
      <c r="I19" s="25"/>
      <c r="J19" s="23"/>
      <c r="K19" s="24"/>
      <c r="L19" s="117" t="s">
        <v>356</v>
      </c>
      <c r="M19" s="25"/>
    </row>
    <row r="20" spans="1:13" ht="78" customHeight="1" thickBot="1">
      <c r="A20" s="101"/>
      <c r="B20" s="26"/>
      <c r="C20" s="27"/>
      <c r="D20" s="118"/>
      <c r="E20" s="28"/>
      <c r="F20" s="26"/>
      <c r="G20" s="27"/>
      <c r="H20" s="118"/>
      <c r="I20" s="28"/>
      <c r="J20" s="26"/>
      <c r="K20" s="27"/>
      <c r="L20" s="118"/>
      <c r="M20" s="28"/>
    </row>
    <row r="21" spans="1:13" ht="6" customHeight="1" thickBot="1">
      <c r="A21" s="99" t="s">
        <v>117</v>
      </c>
      <c r="B21" s="15"/>
      <c r="C21" s="16"/>
      <c r="D21" s="17"/>
      <c r="E21" s="18"/>
      <c r="F21" s="19"/>
      <c r="G21" s="20"/>
      <c r="H21" s="21"/>
      <c r="I21" s="18"/>
      <c r="J21" s="19"/>
      <c r="K21" s="20"/>
      <c r="L21" s="17"/>
      <c r="M21" s="22"/>
    </row>
    <row r="22" spans="1:13" ht="15" customHeight="1" thickBot="1">
      <c r="A22" s="100"/>
      <c r="B22" s="23"/>
      <c r="C22" s="24">
        <v>0</v>
      </c>
      <c r="D22" s="117" t="s">
        <v>345</v>
      </c>
      <c r="E22" s="25"/>
      <c r="F22" s="23"/>
      <c r="G22" s="24"/>
      <c r="H22" s="117" t="s">
        <v>358</v>
      </c>
      <c r="I22" s="25"/>
      <c r="J22" s="23"/>
      <c r="K22" s="24"/>
      <c r="L22" s="117" t="s">
        <v>355</v>
      </c>
      <c r="M22" s="25"/>
    </row>
    <row r="23" spans="1:13" ht="78" customHeight="1" thickBot="1">
      <c r="A23" s="101"/>
      <c r="B23" s="26"/>
      <c r="C23" s="27"/>
      <c r="D23" s="118"/>
      <c r="E23" s="28"/>
      <c r="F23" s="26"/>
      <c r="G23" s="27"/>
      <c r="H23" s="118"/>
      <c r="I23" s="28"/>
      <c r="J23" s="26"/>
      <c r="K23" s="27"/>
      <c r="L23" s="118"/>
      <c r="M23" s="28"/>
    </row>
    <row r="24" spans="1:13" ht="6" customHeight="1" thickBot="1">
      <c r="A24" s="99" t="s">
        <v>545</v>
      </c>
      <c r="B24" s="15"/>
      <c r="C24" s="16"/>
      <c r="D24" s="17"/>
      <c r="E24" s="18"/>
      <c r="F24" s="19"/>
      <c r="G24" s="20"/>
      <c r="H24" s="21"/>
      <c r="I24" s="18"/>
      <c r="J24" s="19"/>
      <c r="K24" s="20"/>
      <c r="L24" s="17"/>
      <c r="M24" s="22"/>
    </row>
    <row r="25" spans="1:13" ht="15.75" customHeight="1" thickBot="1">
      <c r="A25" s="100"/>
      <c r="B25" s="23"/>
      <c r="C25" s="24">
        <v>0</v>
      </c>
      <c r="D25" s="117" t="s">
        <v>535</v>
      </c>
      <c r="E25" s="25"/>
      <c r="F25" s="23"/>
      <c r="G25" s="24"/>
      <c r="H25" s="117" t="s">
        <v>546</v>
      </c>
      <c r="I25" s="25"/>
      <c r="J25" s="23"/>
      <c r="K25" s="24"/>
      <c r="L25" s="117" t="s">
        <v>547</v>
      </c>
      <c r="M25" s="25"/>
    </row>
    <row r="26" spans="1:13" ht="109.5" customHeight="1" thickBot="1">
      <c r="A26" s="101"/>
      <c r="B26" s="26"/>
      <c r="C26" s="27"/>
      <c r="D26" s="118"/>
      <c r="E26" s="28"/>
      <c r="F26" s="26"/>
      <c r="G26" s="27"/>
      <c r="H26" s="118"/>
      <c r="I26" s="28"/>
      <c r="J26" s="26"/>
      <c r="K26" s="27"/>
      <c r="L26" s="118"/>
      <c r="M26" s="28"/>
    </row>
    <row r="27" spans="1:13" ht="15.75" thickBot="1">
      <c r="D27" s="50"/>
      <c r="E27" s="51"/>
      <c r="F27" s="51"/>
      <c r="G27" s="51"/>
      <c r="H27" s="51"/>
      <c r="I27" s="52"/>
    </row>
    <row r="28" spans="1:13" ht="15.75" thickBot="1">
      <c r="D28" s="53" t="s">
        <v>673</v>
      </c>
      <c r="E28" s="59">
        <f>AVERAGE(C10,G10,K10,C13,G13,K13,C16,G16,K16,C19,G19,K19,C25,G25,K25,C22,G22,K22)</f>
        <v>0.5</v>
      </c>
      <c r="F28" s="54"/>
      <c r="G28" s="54"/>
      <c r="H28" s="54"/>
      <c r="I28" s="55"/>
    </row>
    <row r="29" spans="1:13" ht="15.75" thickBot="1">
      <c r="D29" s="56"/>
      <c r="E29" s="57"/>
      <c r="F29" s="57"/>
      <c r="G29" s="57"/>
      <c r="H29" s="57"/>
      <c r="I29" s="58"/>
    </row>
  </sheetData>
  <sheetProtection algorithmName="SHA-512" hashValue="tcOv1txr4GathOrXCnL07dDTF/xRxsSAzpaD/Xt+m3Ijd0Pccu9WaUcmDP+ppk3XhXoKFmfehv2TMGpEVUm8ag==" saltValue="leuhORw8yebefI8NlfhTIQ==" spinCount="100000" sheet="1" objects="1" scenarios="1" selectLockedCells="1"/>
  <mergeCells count="33">
    <mergeCell ref="A2:G2"/>
    <mergeCell ref="I2:L2"/>
    <mergeCell ref="A9:A11"/>
    <mergeCell ref="D10:D11"/>
    <mergeCell ref="H10:H11"/>
    <mergeCell ref="L10:L11"/>
    <mergeCell ref="A12:A14"/>
    <mergeCell ref="A4:M4"/>
    <mergeCell ref="A5:M5"/>
    <mergeCell ref="A6:M6"/>
    <mergeCell ref="A7:A8"/>
    <mergeCell ref="D7:D8"/>
    <mergeCell ref="H7:H8"/>
    <mergeCell ref="L7:L8"/>
    <mergeCell ref="D13:D14"/>
    <mergeCell ref="H13:H14"/>
    <mergeCell ref="L13:L14"/>
    <mergeCell ref="A15:A17"/>
    <mergeCell ref="D16:D17"/>
    <mergeCell ref="H16:H17"/>
    <mergeCell ref="L16:L17"/>
    <mergeCell ref="A18:A20"/>
    <mergeCell ref="D19:D20"/>
    <mergeCell ref="H19:H20"/>
    <mergeCell ref="L19:L20"/>
    <mergeCell ref="A24:A26"/>
    <mergeCell ref="D25:D26"/>
    <mergeCell ref="H25:H26"/>
    <mergeCell ref="L25:L26"/>
    <mergeCell ref="A21:A23"/>
    <mergeCell ref="D22:D23"/>
    <mergeCell ref="H22:H23"/>
    <mergeCell ref="L22:L23"/>
  </mergeCells>
  <conditionalFormatting sqref="C10">
    <cfRule type="colorScale" priority="40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13">
    <cfRule type="colorScale" priority="37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16">
    <cfRule type="colorScale" priority="34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19">
    <cfRule type="colorScale" priority="31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22">
    <cfRule type="colorScale" priority="6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25">
    <cfRule type="colorScale" priority="3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E28">
    <cfRule type="colorScale" priority="7">
      <colorScale>
        <cfvo type="num" val="0"/>
        <cfvo type="num" val="1"/>
        <cfvo type="num" val="2"/>
        <color rgb="FFC00000"/>
        <color theme="7"/>
        <color theme="9"/>
      </colorScale>
    </cfRule>
  </conditionalFormatting>
  <conditionalFormatting sqref="G10">
    <cfRule type="colorScale" priority="39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13">
    <cfRule type="colorScale" priority="36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16">
    <cfRule type="colorScale" priority="33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19">
    <cfRule type="colorScale" priority="30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22">
    <cfRule type="colorScale" priority="5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25">
    <cfRule type="colorScale" priority="2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10">
    <cfRule type="colorScale" priority="38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13">
    <cfRule type="colorScale" priority="35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16">
    <cfRule type="colorScale" priority="32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19">
    <cfRule type="colorScale" priority="29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22">
    <cfRule type="colorScale" priority="4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25">
    <cfRule type="colorScale" priority="1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3"/>
  <sheetViews>
    <sheetView workbookViewId="0">
      <selection activeCell="P19" sqref="P19"/>
    </sheetView>
  </sheetViews>
  <sheetFormatPr baseColWidth="10" defaultColWidth="9.140625" defaultRowHeight="15"/>
  <cols>
    <col min="1" max="1" width="20.140625" style="1" customWidth="1"/>
    <col min="2" max="2" width="1" style="1" customWidth="1"/>
    <col min="3" max="3" width="3.7109375" style="1" customWidth="1"/>
    <col min="4" max="4" width="30.7109375" style="1" customWidth="1"/>
    <col min="5" max="5" width="3.7109375" style="1" customWidth="1"/>
    <col min="6" max="6" width="1" style="1" customWidth="1"/>
    <col min="7" max="7" width="3.7109375" style="1" customWidth="1"/>
    <col min="8" max="8" width="30.7109375" style="1" customWidth="1"/>
    <col min="9" max="9" width="3.7109375" style="1" customWidth="1"/>
    <col min="10" max="10" width="1" style="1" customWidth="1"/>
    <col min="11" max="11" width="3.7109375" style="1" customWidth="1"/>
    <col min="12" max="12" width="30.7109375" style="1" customWidth="1"/>
    <col min="13" max="13" width="3.7109375" style="1" customWidth="1"/>
    <col min="14" max="16384" width="9.140625" style="1"/>
  </cols>
  <sheetData>
    <row r="2" spans="1:13">
      <c r="A2" s="119" t="s">
        <v>644</v>
      </c>
      <c r="B2" s="119"/>
      <c r="C2" s="119"/>
      <c r="D2" s="119"/>
      <c r="E2" s="119"/>
      <c r="F2" s="119"/>
      <c r="G2" s="119"/>
      <c r="H2" s="1" t="s">
        <v>704</v>
      </c>
      <c r="I2" s="120" t="s">
        <v>645</v>
      </c>
      <c r="J2" s="120"/>
      <c r="K2" s="120"/>
      <c r="L2" s="120"/>
    </row>
    <row r="3" spans="1:13" ht="15.75" thickBot="1"/>
    <row r="4" spans="1:13" ht="18.75">
      <c r="A4" s="130" t="s">
        <v>0</v>
      </c>
      <c r="B4" s="131"/>
      <c r="C4" s="131"/>
      <c r="D4" s="131"/>
      <c r="E4" s="131"/>
      <c r="F4" s="131"/>
      <c r="G4" s="131"/>
      <c r="H4" s="131"/>
      <c r="I4" s="131"/>
      <c r="J4" s="131"/>
      <c r="K4" s="131"/>
      <c r="L4" s="131"/>
      <c r="M4" s="132"/>
    </row>
    <row r="5" spans="1:13" ht="18.75">
      <c r="A5" s="133" t="s">
        <v>62</v>
      </c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4"/>
      <c r="M5" s="135"/>
    </row>
    <row r="6" spans="1:13" ht="19.5" thickBot="1">
      <c r="A6" s="136" t="s">
        <v>65</v>
      </c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8"/>
    </row>
    <row r="7" spans="1:13" ht="12" customHeight="1" thickBot="1">
      <c r="A7" s="102" t="s">
        <v>3</v>
      </c>
      <c r="B7" s="37"/>
      <c r="C7" s="38"/>
      <c r="D7" s="104" t="s">
        <v>5</v>
      </c>
      <c r="E7" s="39">
        <v>0</v>
      </c>
      <c r="F7" s="40"/>
      <c r="G7" s="41"/>
      <c r="H7" s="106" t="s">
        <v>6</v>
      </c>
      <c r="I7" s="95">
        <v>1</v>
      </c>
      <c r="J7" s="40"/>
      <c r="K7" s="41"/>
      <c r="L7" s="104" t="s">
        <v>7</v>
      </c>
      <c r="M7" s="43">
        <v>2</v>
      </c>
    </row>
    <row r="8" spans="1:13" ht="16.5" thickBot="1">
      <c r="A8" s="103"/>
      <c r="B8" s="44"/>
      <c r="C8" s="45"/>
      <c r="D8" s="105"/>
      <c r="E8" s="46"/>
      <c r="F8" s="47"/>
      <c r="G8" s="48"/>
      <c r="H8" s="107"/>
      <c r="I8" s="48"/>
      <c r="J8" s="47"/>
      <c r="K8" s="48"/>
      <c r="L8" s="105"/>
      <c r="M8" s="49"/>
    </row>
    <row r="9" spans="1:13" ht="6" customHeight="1" thickBot="1">
      <c r="A9" s="98" t="s">
        <v>119</v>
      </c>
      <c r="B9" s="15"/>
      <c r="C9" s="16"/>
      <c r="D9" s="17"/>
      <c r="E9" s="18"/>
      <c r="F9" s="19"/>
      <c r="G9" s="20"/>
      <c r="H9" s="21"/>
      <c r="I9" s="20"/>
      <c r="J9" s="19"/>
      <c r="K9" s="20"/>
      <c r="L9" s="17"/>
      <c r="M9" s="22"/>
    </row>
    <row r="10" spans="1:13" ht="13.5" customHeight="1" thickBot="1">
      <c r="A10" s="96"/>
      <c r="B10" s="23"/>
      <c r="C10" s="24"/>
      <c r="D10" s="117" t="s">
        <v>360</v>
      </c>
      <c r="E10" s="25"/>
      <c r="F10" s="23"/>
      <c r="G10" s="24">
        <v>1</v>
      </c>
      <c r="H10" s="117" t="s">
        <v>368</v>
      </c>
      <c r="J10" s="23"/>
      <c r="K10" s="24"/>
      <c r="L10" s="117" t="s">
        <v>364</v>
      </c>
      <c r="M10" s="25"/>
    </row>
    <row r="11" spans="1:13" ht="78.75" customHeight="1" thickBot="1">
      <c r="A11" s="97"/>
      <c r="B11" s="26"/>
      <c r="C11" s="27"/>
      <c r="D11" s="118"/>
      <c r="E11" s="28"/>
      <c r="F11" s="26"/>
      <c r="G11" s="27"/>
      <c r="H11" s="118"/>
      <c r="I11" s="27"/>
      <c r="J11" s="26"/>
      <c r="K11" s="27"/>
      <c r="L11" s="118"/>
      <c r="M11" s="28"/>
    </row>
    <row r="12" spans="1:13" ht="6" customHeight="1" thickBot="1">
      <c r="A12" s="98" t="s">
        <v>120</v>
      </c>
      <c r="B12" s="29"/>
      <c r="C12" s="30"/>
      <c r="D12" s="31"/>
      <c r="E12" s="32"/>
      <c r="F12" s="33"/>
      <c r="G12" s="34"/>
      <c r="H12" s="35"/>
      <c r="I12" s="32"/>
      <c r="J12" s="33"/>
      <c r="K12" s="34"/>
      <c r="L12" s="31"/>
      <c r="M12" s="25"/>
    </row>
    <row r="13" spans="1:13" ht="15.75" customHeight="1" thickBot="1">
      <c r="A13" s="96"/>
      <c r="B13" s="23"/>
      <c r="C13" s="24"/>
      <c r="D13" s="117" t="s">
        <v>361</v>
      </c>
      <c r="E13" s="25"/>
      <c r="F13" s="23"/>
      <c r="G13" s="24"/>
      <c r="H13" s="117" t="s">
        <v>369</v>
      </c>
      <c r="I13" s="25"/>
      <c r="J13" s="23"/>
      <c r="K13" s="24">
        <v>2</v>
      </c>
      <c r="L13" s="117" t="s">
        <v>365</v>
      </c>
      <c r="M13" s="25"/>
    </row>
    <row r="14" spans="1:13" ht="82.5" customHeight="1" thickBot="1">
      <c r="A14" s="97"/>
      <c r="B14" s="23"/>
      <c r="D14" s="117"/>
      <c r="E14" s="25"/>
      <c r="F14" s="23"/>
      <c r="H14" s="117"/>
      <c r="I14" s="25"/>
      <c r="J14" s="23"/>
      <c r="L14" s="118"/>
      <c r="M14" s="25"/>
    </row>
    <row r="15" spans="1:13" ht="6" customHeight="1" thickBot="1">
      <c r="A15" s="99" t="s">
        <v>359</v>
      </c>
      <c r="B15" s="15"/>
      <c r="C15" s="16"/>
      <c r="D15" s="17"/>
      <c r="E15" s="18"/>
      <c r="F15" s="19"/>
      <c r="G15" s="20"/>
      <c r="H15" s="21"/>
      <c r="I15" s="18"/>
      <c r="J15" s="19"/>
      <c r="K15" s="20"/>
      <c r="L15" s="17"/>
      <c r="M15" s="22"/>
    </row>
    <row r="16" spans="1:13" ht="15.75" customHeight="1" thickBot="1">
      <c r="A16" s="100"/>
      <c r="B16" s="23"/>
      <c r="C16" s="24"/>
      <c r="D16" s="117" t="s">
        <v>362</v>
      </c>
      <c r="E16" s="25"/>
      <c r="F16" s="23"/>
      <c r="G16" s="24">
        <v>1</v>
      </c>
      <c r="H16" s="117" t="s">
        <v>370</v>
      </c>
      <c r="I16" s="25"/>
      <c r="J16" s="23"/>
      <c r="K16" s="24"/>
      <c r="L16" s="117" t="s">
        <v>366</v>
      </c>
      <c r="M16" s="25"/>
    </row>
    <row r="17" spans="1:13" ht="93" customHeight="1" thickBot="1">
      <c r="A17" s="101"/>
      <c r="B17" s="26"/>
      <c r="C17" s="27"/>
      <c r="D17" s="118"/>
      <c r="E17" s="28"/>
      <c r="F17" s="26"/>
      <c r="G17" s="27"/>
      <c r="H17" s="117"/>
      <c r="I17" s="28"/>
      <c r="J17" s="26"/>
      <c r="K17" s="27"/>
      <c r="L17" s="118"/>
      <c r="M17" s="28"/>
    </row>
    <row r="18" spans="1:13" ht="6" customHeight="1" thickBot="1">
      <c r="A18" s="99" t="s">
        <v>121</v>
      </c>
      <c r="B18" s="15"/>
      <c r="C18" s="16"/>
      <c r="D18" s="17"/>
      <c r="E18" s="18"/>
      <c r="F18" s="19"/>
      <c r="G18" s="20"/>
      <c r="H18" s="21"/>
      <c r="I18" s="18"/>
      <c r="J18" s="19"/>
      <c r="K18" s="20"/>
      <c r="L18" s="17"/>
      <c r="M18" s="22"/>
    </row>
    <row r="19" spans="1:13" ht="15" customHeight="1" thickBot="1">
      <c r="A19" s="100"/>
      <c r="B19" s="23"/>
      <c r="C19" s="24"/>
      <c r="D19" s="117" t="s">
        <v>363</v>
      </c>
      <c r="E19" s="25"/>
      <c r="F19" s="23"/>
      <c r="G19" s="24">
        <v>1</v>
      </c>
      <c r="H19" s="117" t="s">
        <v>371</v>
      </c>
      <c r="I19" s="25"/>
      <c r="J19" s="23"/>
      <c r="K19" s="24"/>
      <c r="L19" s="117" t="s">
        <v>367</v>
      </c>
      <c r="M19" s="25"/>
    </row>
    <row r="20" spans="1:13" ht="81" customHeight="1" thickBot="1">
      <c r="A20" s="101"/>
      <c r="B20" s="26"/>
      <c r="C20" s="27"/>
      <c r="D20" s="118"/>
      <c r="E20" s="28"/>
      <c r="F20" s="26"/>
      <c r="G20" s="27"/>
      <c r="H20" s="117"/>
      <c r="I20" s="28"/>
      <c r="J20" s="26"/>
      <c r="K20" s="27"/>
      <c r="L20" s="118"/>
      <c r="M20" s="28"/>
    </row>
    <row r="21" spans="1:13" ht="15.75" thickBot="1">
      <c r="D21" s="50"/>
      <c r="E21" s="51"/>
      <c r="F21" s="51"/>
      <c r="G21" s="51"/>
      <c r="H21" s="51"/>
      <c r="I21" s="52"/>
    </row>
    <row r="22" spans="1:13" ht="15.75" thickBot="1">
      <c r="D22" s="53" t="s">
        <v>674</v>
      </c>
      <c r="E22" s="59">
        <f>AVERAGE(C10,G10,K10,C13,G13,K13,C16,G16,K16,C19,G19,K19)</f>
        <v>1.25</v>
      </c>
      <c r="F22" s="54"/>
      <c r="G22" s="54"/>
      <c r="H22" s="54"/>
      <c r="I22" s="55"/>
    </row>
    <row r="23" spans="1:13" ht="15.75" thickBot="1">
      <c r="D23" s="56"/>
      <c r="E23" s="57"/>
      <c r="F23" s="57"/>
      <c r="G23" s="57"/>
      <c r="H23" s="57"/>
      <c r="I23" s="58"/>
    </row>
  </sheetData>
  <sheetProtection algorithmName="SHA-512" hashValue="WFBB5ksTEFleaIVtS+IJKygCip+NyPwO0T+pSIAXSi0IfPrAz7763tosavD4HQKcd/Ivg7ahKq5A8Q0D0OEIlA==" saltValue="4jFauZIYo+DI1ocEPRPN9w==" spinCount="100000" sheet="1" objects="1" scenarios="1" selectLockedCells="1"/>
  <mergeCells count="25">
    <mergeCell ref="A2:G2"/>
    <mergeCell ref="I2:L2"/>
    <mergeCell ref="A4:M4"/>
    <mergeCell ref="A5:M5"/>
    <mergeCell ref="A6:M6"/>
    <mergeCell ref="A7:A8"/>
    <mergeCell ref="D7:D8"/>
    <mergeCell ref="H7:H8"/>
    <mergeCell ref="L7:L8"/>
    <mergeCell ref="A9:A11"/>
    <mergeCell ref="D10:D11"/>
    <mergeCell ref="H10:H11"/>
    <mergeCell ref="L10:L11"/>
    <mergeCell ref="A18:A20"/>
    <mergeCell ref="D19:D20"/>
    <mergeCell ref="H19:H20"/>
    <mergeCell ref="L19:L20"/>
    <mergeCell ref="A12:A14"/>
    <mergeCell ref="D13:D14"/>
    <mergeCell ref="H13:H14"/>
    <mergeCell ref="L13:L14"/>
    <mergeCell ref="A15:A17"/>
    <mergeCell ref="D16:D17"/>
    <mergeCell ref="H16:H17"/>
    <mergeCell ref="L16:L17"/>
  </mergeCells>
  <conditionalFormatting sqref="C10">
    <cfRule type="colorScale" priority="34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13">
    <cfRule type="colorScale" priority="31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16">
    <cfRule type="colorScale" priority="28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19">
    <cfRule type="colorScale" priority="25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E22">
    <cfRule type="colorScale" priority="1">
      <colorScale>
        <cfvo type="num" val="0"/>
        <cfvo type="num" val="1"/>
        <cfvo type="num" val="2"/>
        <color rgb="FFC00000"/>
        <color theme="7"/>
        <color theme="9"/>
      </colorScale>
    </cfRule>
  </conditionalFormatting>
  <conditionalFormatting sqref="G10">
    <cfRule type="colorScale" priority="33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13">
    <cfRule type="colorScale" priority="30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16">
    <cfRule type="colorScale" priority="27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19">
    <cfRule type="colorScale" priority="24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10">
    <cfRule type="colorScale" priority="32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13">
    <cfRule type="colorScale" priority="29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16">
    <cfRule type="colorScale" priority="26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19">
    <cfRule type="colorScale" priority="23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22"/>
  <sheetViews>
    <sheetView topLeftCell="A114" workbookViewId="0">
      <selection activeCell="R116" sqref="R116"/>
    </sheetView>
  </sheetViews>
  <sheetFormatPr baseColWidth="10" defaultColWidth="9.140625" defaultRowHeight="15"/>
  <cols>
    <col min="1" max="1" width="20.140625" style="1" customWidth="1"/>
    <col min="2" max="2" width="1" style="1" customWidth="1"/>
    <col min="3" max="3" width="3.7109375" style="1" customWidth="1"/>
    <col min="4" max="4" width="30.7109375" style="1" customWidth="1"/>
    <col min="5" max="5" width="3.7109375" style="1" customWidth="1"/>
    <col min="6" max="6" width="1" style="1" customWidth="1"/>
    <col min="7" max="7" width="3.7109375" style="1" customWidth="1"/>
    <col min="8" max="8" width="30.7109375" style="1" customWidth="1"/>
    <col min="9" max="9" width="3.7109375" style="1" customWidth="1"/>
    <col min="10" max="10" width="1" style="1" customWidth="1"/>
    <col min="11" max="11" width="3.7109375" style="1" customWidth="1"/>
    <col min="12" max="12" width="30.7109375" style="1" customWidth="1"/>
    <col min="13" max="13" width="3.7109375" style="1" customWidth="1"/>
    <col min="14" max="16384" width="9.140625" style="1"/>
  </cols>
  <sheetData>
    <row r="2" spans="1:13">
      <c r="A2" s="119" t="s">
        <v>644</v>
      </c>
      <c r="B2" s="119"/>
      <c r="C2" s="119"/>
      <c r="D2" s="119"/>
      <c r="E2" s="119"/>
      <c r="F2" s="119"/>
      <c r="G2" s="119"/>
      <c r="H2" s="1" t="s">
        <v>704</v>
      </c>
      <c r="I2" s="120" t="s">
        <v>645</v>
      </c>
      <c r="J2" s="120"/>
      <c r="K2" s="120"/>
      <c r="L2" s="120"/>
    </row>
    <row r="3" spans="1:13" ht="15.75" thickBot="1"/>
    <row r="4" spans="1:13" ht="18.75">
      <c r="A4" s="139" t="s">
        <v>0</v>
      </c>
      <c r="B4" s="140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1"/>
    </row>
    <row r="5" spans="1:13" ht="18.75">
      <c r="A5" s="142" t="s">
        <v>62</v>
      </c>
      <c r="B5" s="143"/>
      <c r="C5" s="143"/>
      <c r="D5" s="143"/>
      <c r="E5" s="143"/>
      <c r="F5" s="143"/>
      <c r="G5" s="143"/>
      <c r="H5" s="143"/>
      <c r="I5" s="143"/>
      <c r="J5" s="143"/>
      <c r="K5" s="143"/>
      <c r="L5" s="143"/>
      <c r="M5" s="144"/>
    </row>
    <row r="6" spans="1:13" ht="19.5" thickBot="1">
      <c r="A6" s="145" t="s">
        <v>66</v>
      </c>
      <c r="B6" s="146"/>
      <c r="C6" s="146"/>
      <c r="D6" s="146"/>
      <c r="E6" s="146"/>
      <c r="F6" s="146"/>
      <c r="G6" s="146"/>
      <c r="H6" s="146"/>
      <c r="I6" s="146"/>
      <c r="J6" s="146"/>
      <c r="K6" s="146"/>
      <c r="L6" s="146"/>
      <c r="M6" s="147"/>
    </row>
    <row r="7" spans="1:13" ht="12" customHeight="1" thickBot="1">
      <c r="A7" s="102" t="s">
        <v>3</v>
      </c>
      <c r="B7" s="37"/>
      <c r="C7" s="38"/>
      <c r="D7" s="104" t="s">
        <v>5</v>
      </c>
      <c r="E7" s="39">
        <v>0</v>
      </c>
      <c r="F7" s="40"/>
      <c r="G7" s="41"/>
      <c r="H7" s="106" t="s">
        <v>6</v>
      </c>
      <c r="I7" s="95">
        <v>1</v>
      </c>
      <c r="J7" s="40"/>
      <c r="K7" s="41"/>
      <c r="L7" s="104" t="s">
        <v>7</v>
      </c>
      <c r="M7" s="43">
        <v>2</v>
      </c>
    </row>
    <row r="8" spans="1:13" ht="16.5" thickBot="1">
      <c r="A8" s="103"/>
      <c r="B8" s="44"/>
      <c r="C8" s="45"/>
      <c r="D8" s="105"/>
      <c r="E8" s="46"/>
      <c r="F8" s="47"/>
      <c r="G8" s="48"/>
      <c r="H8" s="107"/>
      <c r="I8" s="48"/>
      <c r="J8" s="47"/>
      <c r="K8" s="48"/>
      <c r="L8" s="105"/>
      <c r="M8" s="49"/>
    </row>
    <row r="9" spans="1:13" ht="6" customHeight="1" thickBot="1">
      <c r="A9" s="99" t="s">
        <v>372</v>
      </c>
      <c r="B9" s="15"/>
      <c r="C9" s="16"/>
      <c r="D9" s="17"/>
      <c r="E9" s="18"/>
      <c r="F9" s="19"/>
      <c r="G9" s="20"/>
      <c r="H9" s="21"/>
      <c r="I9" s="20"/>
      <c r="J9" s="19"/>
      <c r="K9" s="20"/>
      <c r="L9" s="17"/>
      <c r="M9" s="22"/>
    </row>
    <row r="10" spans="1:13" ht="13.5" customHeight="1" thickBot="1">
      <c r="A10" s="100"/>
      <c r="B10" s="23"/>
      <c r="C10" s="24"/>
      <c r="D10" s="117" t="s">
        <v>383</v>
      </c>
      <c r="E10" s="25"/>
      <c r="F10" s="23"/>
      <c r="G10" s="24">
        <v>1</v>
      </c>
      <c r="H10" s="117" t="s">
        <v>380</v>
      </c>
      <c r="J10" s="23"/>
      <c r="K10" s="24"/>
      <c r="L10" s="117" t="s">
        <v>388</v>
      </c>
      <c r="M10" s="25"/>
    </row>
    <row r="11" spans="1:13" ht="94.5" customHeight="1" thickBot="1">
      <c r="A11" s="101"/>
      <c r="B11" s="26"/>
      <c r="C11" s="27"/>
      <c r="D11" s="118"/>
      <c r="E11" s="28"/>
      <c r="F11" s="26"/>
      <c r="G11" s="27"/>
      <c r="H11" s="118"/>
      <c r="I11" s="27"/>
      <c r="J11" s="26"/>
      <c r="K11" s="27"/>
      <c r="L11" s="118"/>
      <c r="M11" s="28"/>
    </row>
    <row r="12" spans="1:13" ht="6" customHeight="1" thickBot="1">
      <c r="A12" s="99" t="s">
        <v>373</v>
      </c>
      <c r="B12" s="29"/>
      <c r="C12" s="30"/>
      <c r="D12" s="31"/>
      <c r="E12" s="32"/>
      <c r="F12" s="33"/>
      <c r="G12" s="34"/>
      <c r="H12" s="35"/>
      <c r="I12" s="32"/>
      <c r="J12" s="33"/>
      <c r="K12" s="34"/>
      <c r="L12" s="31"/>
      <c r="M12" s="25"/>
    </row>
    <row r="13" spans="1:13" ht="15.75" thickBot="1">
      <c r="A13" s="100"/>
      <c r="B13" s="23"/>
      <c r="C13" s="24"/>
      <c r="D13" s="117" t="s">
        <v>384</v>
      </c>
      <c r="E13" s="25"/>
      <c r="F13" s="23"/>
      <c r="G13" s="24">
        <v>1</v>
      </c>
      <c r="H13" s="117" t="s">
        <v>381</v>
      </c>
      <c r="I13" s="25"/>
      <c r="J13" s="23"/>
      <c r="K13" s="24"/>
      <c r="L13" s="117" t="s">
        <v>389</v>
      </c>
      <c r="M13" s="25"/>
    </row>
    <row r="14" spans="1:13" ht="93" customHeight="1" thickBot="1">
      <c r="A14" s="101"/>
      <c r="B14" s="23"/>
      <c r="D14" s="117"/>
      <c r="E14" s="25"/>
      <c r="F14" s="23"/>
      <c r="H14" s="117"/>
      <c r="I14" s="25"/>
      <c r="J14" s="23"/>
      <c r="L14" s="117"/>
      <c r="M14" s="25"/>
    </row>
    <row r="15" spans="1:13" ht="6" customHeight="1" thickBot="1">
      <c r="A15" s="99" t="s">
        <v>374</v>
      </c>
      <c r="B15" s="15"/>
      <c r="C15" s="16"/>
      <c r="D15" s="17"/>
      <c r="E15" s="18"/>
      <c r="F15" s="19"/>
      <c r="G15" s="20"/>
      <c r="H15" s="21"/>
      <c r="I15" s="18"/>
      <c r="J15" s="19"/>
      <c r="K15" s="20"/>
      <c r="L15" s="17"/>
      <c r="M15" s="22"/>
    </row>
    <row r="16" spans="1:13" ht="15.75" thickBot="1">
      <c r="A16" s="100"/>
      <c r="B16" s="23"/>
      <c r="C16" s="24"/>
      <c r="D16" s="117" t="s">
        <v>385</v>
      </c>
      <c r="E16" s="25"/>
      <c r="F16" s="23"/>
      <c r="G16" s="24"/>
      <c r="H16" s="117" t="s">
        <v>382</v>
      </c>
      <c r="I16" s="25"/>
      <c r="J16" s="23"/>
      <c r="K16" s="24">
        <v>3</v>
      </c>
      <c r="L16" s="117" t="s">
        <v>390</v>
      </c>
      <c r="M16" s="25"/>
    </row>
    <row r="17" spans="1:13" ht="90" customHeight="1" thickBot="1">
      <c r="A17" s="101"/>
      <c r="B17" s="26"/>
      <c r="C17" s="27"/>
      <c r="D17" s="118"/>
      <c r="E17" s="28"/>
      <c r="F17" s="26"/>
      <c r="G17" s="27"/>
      <c r="H17" s="118"/>
      <c r="I17" s="28"/>
      <c r="J17" s="26"/>
      <c r="K17" s="27"/>
      <c r="L17" s="118"/>
      <c r="M17" s="28"/>
    </row>
    <row r="18" spans="1:13" ht="6" customHeight="1" thickBot="1">
      <c r="A18" s="99" t="s">
        <v>375</v>
      </c>
      <c r="B18" s="15"/>
      <c r="C18" s="16"/>
      <c r="D18" s="17"/>
      <c r="E18" s="18"/>
      <c r="F18" s="19"/>
      <c r="G18" s="20"/>
      <c r="H18" s="21"/>
      <c r="I18" s="18"/>
      <c r="J18" s="19"/>
      <c r="K18" s="20"/>
      <c r="L18" s="17"/>
      <c r="M18" s="22"/>
    </row>
    <row r="19" spans="1:13" ht="15" customHeight="1" thickBot="1">
      <c r="A19" s="100"/>
      <c r="B19" s="23"/>
      <c r="C19" s="24"/>
      <c r="D19" s="117" t="s">
        <v>386</v>
      </c>
      <c r="E19" s="25"/>
      <c r="F19" s="23"/>
      <c r="G19" s="24">
        <v>1</v>
      </c>
      <c r="H19" s="117" t="s">
        <v>387</v>
      </c>
      <c r="I19" s="25"/>
      <c r="J19" s="23"/>
      <c r="K19" s="24"/>
      <c r="L19" s="117" t="s">
        <v>391</v>
      </c>
      <c r="M19" s="25"/>
    </row>
    <row r="20" spans="1:13" ht="90" customHeight="1" thickBot="1">
      <c r="A20" s="101"/>
      <c r="B20" s="26"/>
      <c r="C20" s="27"/>
      <c r="D20" s="118"/>
      <c r="E20" s="28"/>
      <c r="F20" s="26"/>
      <c r="G20" s="27"/>
      <c r="H20" s="118"/>
      <c r="I20" s="28"/>
      <c r="J20" s="26"/>
      <c r="K20" s="27"/>
      <c r="L20" s="118"/>
      <c r="M20" s="28"/>
    </row>
    <row r="21" spans="1:13" ht="6" customHeight="1" thickBot="1">
      <c r="A21" s="99" t="s">
        <v>123</v>
      </c>
      <c r="B21" s="15"/>
      <c r="C21" s="16"/>
      <c r="D21" s="17"/>
      <c r="E21" s="18"/>
      <c r="F21" s="19"/>
      <c r="G21" s="20"/>
      <c r="H21" s="21"/>
      <c r="I21" s="18"/>
      <c r="J21" s="19"/>
      <c r="K21" s="20"/>
      <c r="L21" s="17"/>
      <c r="M21" s="22"/>
    </row>
    <row r="22" spans="1:13" ht="15.75" thickBot="1">
      <c r="A22" s="100"/>
      <c r="B22" s="23"/>
      <c r="C22" s="24"/>
      <c r="D22" s="117" t="s">
        <v>458</v>
      </c>
      <c r="E22" s="25"/>
      <c r="F22" s="23"/>
      <c r="G22" s="24">
        <v>1</v>
      </c>
      <c r="H22" s="117" t="s">
        <v>425</v>
      </c>
      <c r="I22" s="25"/>
      <c r="J22" s="23"/>
      <c r="K22" s="24"/>
      <c r="L22" s="117" t="s">
        <v>392</v>
      </c>
      <c r="M22" s="25"/>
    </row>
    <row r="23" spans="1:13" ht="108" customHeight="1" thickBot="1">
      <c r="A23" s="101"/>
      <c r="B23" s="26"/>
      <c r="C23" s="27"/>
      <c r="D23" s="118"/>
      <c r="E23" s="28"/>
      <c r="F23" s="26"/>
      <c r="G23" s="27"/>
      <c r="H23" s="118"/>
      <c r="I23" s="28"/>
      <c r="J23" s="26"/>
      <c r="K23" s="27"/>
      <c r="L23" s="118"/>
      <c r="M23" s="28"/>
    </row>
    <row r="24" spans="1:13" ht="6" customHeight="1" thickBot="1">
      <c r="A24" s="99" t="s">
        <v>124</v>
      </c>
      <c r="B24" s="15"/>
      <c r="C24" s="16"/>
      <c r="D24" s="17"/>
      <c r="E24" s="18"/>
      <c r="F24" s="19"/>
      <c r="G24" s="20"/>
      <c r="H24" s="21"/>
      <c r="I24" s="18"/>
      <c r="J24" s="19"/>
      <c r="K24" s="20"/>
      <c r="L24" s="17"/>
      <c r="M24" s="22"/>
    </row>
    <row r="25" spans="1:13" ht="15.75" customHeight="1" thickBot="1">
      <c r="A25" s="100"/>
      <c r="B25" s="23"/>
      <c r="C25" s="24"/>
      <c r="D25" s="117" t="s">
        <v>459</v>
      </c>
      <c r="E25" s="25"/>
      <c r="F25" s="23"/>
      <c r="G25" s="24">
        <v>1</v>
      </c>
      <c r="H25" s="117" t="s">
        <v>426</v>
      </c>
      <c r="I25" s="25"/>
      <c r="J25" s="23"/>
      <c r="K25" s="24"/>
      <c r="L25" s="117" t="s">
        <v>393</v>
      </c>
      <c r="M25" s="25"/>
    </row>
    <row r="26" spans="1:13" ht="96" customHeight="1" thickBot="1">
      <c r="A26" s="101"/>
      <c r="B26" s="26"/>
      <c r="C26" s="27"/>
      <c r="D26" s="118"/>
      <c r="E26" s="28"/>
      <c r="F26" s="26"/>
      <c r="G26" s="27"/>
      <c r="H26" s="118"/>
      <c r="I26" s="28"/>
      <c r="J26" s="26"/>
      <c r="K26" s="27"/>
      <c r="L26" s="118"/>
      <c r="M26" s="28"/>
    </row>
    <row r="27" spans="1:13" ht="6" customHeight="1" thickBot="1">
      <c r="A27" s="99" t="s">
        <v>125</v>
      </c>
      <c r="B27" s="15"/>
      <c r="C27" s="16"/>
      <c r="D27" s="17"/>
      <c r="E27" s="18"/>
      <c r="F27" s="19"/>
      <c r="G27" s="20"/>
      <c r="H27" s="21"/>
      <c r="I27" s="18"/>
      <c r="J27" s="19"/>
      <c r="K27" s="20"/>
      <c r="L27" s="17"/>
      <c r="M27" s="22"/>
    </row>
    <row r="28" spans="1:13" ht="15" customHeight="1" thickBot="1">
      <c r="A28" s="100"/>
      <c r="B28" s="23"/>
      <c r="C28" s="24"/>
      <c r="D28" s="117" t="s">
        <v>460</v>
      </c>
      <c r="E28" s="25"/>
      <c r="F28" s="23"/>
      <c r="G28" s="24">
        <v>1</v>
      </c>
      <c r="H28" s="117" t="s">
        <v>427</v>
      </c>
      <c r="I28" s="25"/>
      <c r="J28" s="23"/>
      <c r="K28" s="24"/>
      <c r="L28" s="117" t="s">
        <v>394</v>
      </c>
      <c r="M28" s="25"/>
    </row>
    <row r="29" spans="1:13" ht="92.25" customHeight="1" thickBot="1">
      <c r="A29" s="101"/>
      <c r="B29" s="26"/>
      <c r="C29" s="27"/>
      <c r="D29" s="118"/>
      <c r="E29" s="28"/>
      <c r="F29" s="26"/>
      <c r="G29" s="27"/>
      <c r="H29" s="118"/>
      <c r="I29" s="28"/>
      <c r="J29" s="26"/>
      <c r="K29" s="27"/>
      <c r="L29" s="118"/>
      <c r="M29" s="28"/>
    </row>
    <row r="30" spans="1:13" ht="6" customHeight="1" thickBot="1">
      <c r="A30" s="99" t="s">
        <v>126</v>
      </c>
      <c r="B30" s="15"/>
      <c r="C30" s="16"/>
      <c r="D30" s="17"/>
      <c r="E30" s="18"/>
      <c r="F30" s="19"/>
      <c r="G30" s="20"/>
      <c r="H30" s="21"/>
      <c r="I30" s="18"/>
      <c r="J30" s="19"/>
      <c r="K30" s="20"/>
      <c r="L30" s="17"/>
      <c r="M30" s="22"/>
    </row>
    <row r="31" spans="1:13" ht="15" customHeight="1" thickBot="1">
      <c r="A31" s="100"/>
      <c r="B31" s="23"/>
      <c r="C31" s="24"/>
      <c r="D31" s="117" t="s">
        <v>461</v>
      </c>
      <c r="E31" s="25"/>
      <c r="F31" s="23"/>
      <c r="G31" s="24">
        <v>1</v>
      </c>
      <c r="H31" s="117" t="s">
        <v>428</v>
      </c>
      <c r="I31" s="25"/>
      <c r="J31" s="23"/>
      <c r="K31" s="24"/>
      <c r="L31" s="117" t="s">
        <v>396</v>
      </c>
      <c r="M31" s="25"/>
    </row>
    <row r="32" spans="1:13" ht="92.25" customHeight="1" thickBot="1">
      <c r="A32" s="101"/>
      <c r="B32" s="26"/>
      <c r="C32" s="27"/>
      <c r="D32" s="118"/>
      <c r="E32" s="28"/>
      <c r="F32" s="26"/>
      <c r="G32" s="27"/>
      <c r="H32" s="118"/>
      <c r="I32" s="28"/>
      <c r="J32" s="26"/>
      <c r="K32" s="27"/>
      <c r="L32" s="118"/>
      <c r="M32" s="28"/>
    </row>
    <row r="33" spans="1:13" ht="6" customHeight="1" thickBot="1">
      <c r="A33" s="99" t="s">
        <v>127</v>
      </c>
      <c r="B33" s="15"/>
      <c r="C33" s="16"/>
      <c r="D33" s="17"/>
      <c r="E33" s="18"/>
      <c r="F33" s="19"/>
      <c r="G33" s="20"/>
      <c r="H33" s="21"/>
      <c r="I33" s="18"/>
      <c r="J33" s="19"/>
      <c r="K33" s="20"/>
      <c r="L33" s="17"/>
      <c r="M33" s="22"/>
    </row>
    <row r="34" spans="1:13" ht="15" customHeight="1" thickBot="1">
      <c r="A34" s="100"/>
      <c r="B34" s="23"/>
      <c r="C34" s="24"/>
      <c r="D34" s="117" t="s">
        <v>462</v>
      </c>
      <c r="E34" s="25"/>
      <c r="F34" s="23"/>
      <c r="G34" s="24"/>
      <c r="H34" s="117" t="s">
        <v>429</v>
      </c>
      <c r="I34" s="25"/>
      <c r="J34" s="23"/>
      <c r="K34" s="24">
        <v>2</v>
      </c>
      <c r="L34" s="117" t="s">
        <v>395</v>
      </c>
      <c r="M34" s="25"/>
    </row>
    <row r="35" spans="1:13" ht="90.75" customHeight="1" thickBot="1">
      <c r="A35" s="101"/>
      <c r="B35" s="26"/>
      <c r="C35" s="27"/>
      <c r="D35" s="118"/>
      <c r="E35" s="28"/>
      <c r="F35" s="26"/>
      <c r="G35" s="27"/>
      <c r="H35" s="118"/>
      <c r="I35" s="28"/>
      <c r="J35" s="26"/>
      <c r="K35" s="27"/>
      <c r="L35" s="118"/>
      <c r="M35" s="28"/>
    </row>
    <row r="36" spans="1:13" ht="6" customHeight="1" thickBot="1">
      <c r="A36" s="99" t="s">
        <v>128</v>
      </c>
      <c r="B36" s="15"/>
      <c r="C36" s="16"/>
      <c r="D36" s="17"/>
      <c r="E36" s="18"/>
      <c r="F36" s="19"/>
      <c r="G36" s="20"/>
      <c r="H36" s="21"/>
      <c r="I36" s="18"/>
      <c r="J36" s="19"/>
      <c r="K36" s="20"/>
      <c r="L36" s="17"/>
      <c r="M36" s="22"/>
    </row>
    <row r="37" spans="1:13" ht="15" customHeight="1" thickBot="1">
      <c r="A37" s="100"/>
      <c r="B37" s="23"/>
      <c r="C37" s="24"/>
      <c r="D37" s="117" t="s">
        <v>463</v>
      </c>
      <c r="E37" s="25"/>
      <c r="F37" s="23"/>
      <c r="G37" s="24"/>
      <c r="H37" s="117" t="s">
        <v>430</v>
      </c>
      <c r="I37" s="25"/>
      <c r="J37" s="23"/>
      <c r="K37" s="24">
        <v>2</v>
      </c>
      <c r="L37" s="117" t="s">
        <v>397</v>
      </c>
      <c r="M37" s="25"/>
    </row>
    <row r="38" spans="1:13" ht="94.5" customHeight="1" thickBot="1">
      <c r="A38" s="101"/>
      <c r="B38" s="26"/>
      <c r="C38" s="27"/>
      <c r="D38" s="118"/>
      <c r="E38" s="28"/>
      <c r="F38" s="26"/>
      <c r="G38" s="27"/>
      <c r="H38" s="118"/>
      <c r="I38" s="28"/>
      <c r="J38" s="26"/>
      <c r="K38" s="27"/>
      <c r="L38" s="118"/>
      <c r="M38" s="28"/>
    </row>
    <row r="39" spans="1:13" ht="6" customHeight="1" thickBot="1">
      <c r="A39" s="99" t="s">
        <v>129</v>
      </c>
      <c r="B39" s="15"/>
      <c r="C39" s="16"/>
      <c r="D39" s="17"/>
      <c r="E39" s="18"/>
      <c r="F39" s="19"/>
      <c r="G39" s="20"/>
      <c r="H39" s="21"/>
      <c r="I39" s="18"/>
      <c r="J39" s="19"/>
      <c r="K39" s="20"/>
      <c r="L39" s="17"/>
      <c r="M39" s="22"/>
    </row>
    <row r="40" spans="1:13" ht="15" customHeight="1" thickBot="1">
      <c r="A40" s="100"/>
      <c r="B40" s="23"/>
      <c r="C40" s="24"/>
      <c r="D40" s="117" t="s">
        <v>481</v>
      </c>
      <c r="E40" s="25"/>
      <c r="F40" s="23"/>
      <c r="G40" s="24"/>
      <c r="H40" s="117" t="s">
        <v>431</v>
      </c>
      <c r="I40" s="25"/>
      <c r="J40" s="23"/>
      <c r="K40" s="24">
        <v>2</v>
      </c>
      <c r="L40" s="117" t="s">
        <v>398</v>
      </c>
      <c r="M40" s="25"/>
    </row>
    <row r="41" spans="1:13" ht="92.25" customHeight="1" thickBot="1">
      <c r="A41" s="101"/>
      <c r="B41" s="26"/>
      <c r="C41" s="27"/>
      <c r="D41" s="118"/>
      <c r="E41" s="28"/>
      <c r="F41" s="26"/>
      <c r="G41" s="27"/>
      <c r="H41" s="118"/>
      <c r="I41" s="28"/>
      <c r="J41" s="26"/>
      <c r="K41" s="27"/>
      <c r="L41" s="118"/>
      <c r="M41" s="28"/>
    </row>
    <row r="42" spans="1:13" ht="6" customHeight="1" thickBot="1">
      <c r="A42" s="99" t="s">
        <v>130</v>
      </c>
      <c r="B42" s="15"/>
      <c r="C42" s="16"/>
      <c r="D42" s="17"/>
      <c r="E42" s="18"/>
      <c r="F42" s="19"/>
      <c r="G42" s="20"/>
      <c r="H42" s="21"/>
      <c r="I42" s="18"/>
      <c r="J42" s="19"/>
      <c r="K42" s="20"/>
      <c r="L42" s="17"/>
      <c r="M42" s="22"/>
    </row>
    <row r="43" spans="1:13" ht="15" customHeight="1" thickBot="1">
      <c r="A43" s="100"/>
      <c r="B43" s="23"/>
      <c r="C43" s="24"/>
      <c r="D43" s="117" t="s">
        <v>464</v>
      </c>
      <c r="E43" s="25"/>
      <c r="F43" s="23"/>
      <c r="G43" s="24"/>
      <c r="H43" s="117" t="s">
        <v>432</v>
      </c>
      <c r="I43" s="25"/>
      <c r="J43" s="23"/>
      <c r="K43" s="24">
        <v>2</v>
      </c>
      <c r="L43" s="117" t="s">
        <v>399</v>
      </c>
      <c r="M43" s="25"/>
    </row>
    <row r="44" spans="1:13" ht="95.25" customHeight="1" thickBot="1">
      <c r="A44" s="101"/>
      <c r="B44" s="26"/>
      <c r="C44" s="27"/>
      <c r="D44" s="118"/>
      <c r="E44" s="28"/>
      <c r="F44" s="26"/>
      <c r="G44" s="27"/>
      <c r="H44" s="118"/>
      <c r="I44" s="28"/>
      <c r="J44" s="26"/>
      <c r="K44" s="27"/>
      <c r="L44" s="118"/>
      <c r="M44" s="28"/>
    </row>
    <row r="45" spans="1:13" ht="6" customHeight="1" thickBot="1">
      <c r="A45" s="99" t="s">
        <v>133</v>
      </c>
      <c r="B45" s="15"/>
      <c r="C45" s="16"/>
      <c r="D45" s="17"/>
      <c r="E45" s="18"/>
      <c r="F45" s="19"/>
      <c r="G45" s="20"/>
      <c r="H45" s="21"/>
      <c r="I45" s="18"/>
      <c r="J45" s="19"/>
      <c r="K45" s="20"/>
      <c r="L45" s="17"/>
      <c r="M45" s="22"/>
    </row>
    <row r="46" spans="1:13" ht="15" customHeight="1" thickBot="1">
      <c r="A46" s="100"/>
      <c r="B46" s="23"/>
      <c r="C46" s="24"/>
      <c r="D46" s="117" t="s">
        <v>482</v>
      </c>
      <c r="E46" s="25"/>
      <c r="F46" s="23"/>
      <c r="G46" s="24">
        <v>1</v>
      </c>
      <c r="H46" s="117" t="s">
        <v>433</v>
      </c>
      <c r="I46" s="25"/>
      <c r="J46" s="23"/>
      <c r="K46" s="24"/>
      <c r="L46" s="117" t="s">
        <v>400</v>
      </c>
      <c r="M46" s="25"/>
    </row>
    <row r="47" spans="1:13" ht="93.75" customHeight="1" thickBot="1">
      <c r="A47" s="101"/>
      <c r="B47" s="26"/>
      <c r="C47" s="27"/>
      <c r="D47" s="118"/>
      <c r="E47" s="28"/>
      <c r="F47" s="26"/>
      <c r="G47" s="27"/>
      <c r="H47" s="118"/>
      <c r="I47" s="28"/>
      <c r="J47" s="26"/>
      <c r="K47" s="27"/>
      <c r="L47" s="118"/>
      <c r="M47" s="28"/>
    </row>
    <row r="48" spans="1:13" ht="6" customHeight="1" thickBot="1">
      <c r="A48" s="99" t="s">
        <v>134</v>
      </c>
      <c r="B48" s="15"/>
      <c r="C48" s="16"/>
      <c r="D48" s="17"/>
      <c r="E48" s="18"/>
      <c r="F48" s="19"/>
      <c r="G48" s="20"/>
      <c r="H48" s="21"/>
      <c r="I48" s="18"/>
      <c r="J48" s="19"/>
      <c r="K48" s="20"/>
      <c r="L48" s="17"/>
      <c r="M48" s="22"/>
    </row>
    <row r="49" spans="1:13" ht="15" customHeight="1" thickBot="1">
      <c r="A49" s="100"/>
      <c r="B49" s="23"/>
      <c r="C49" s="24"/>
      <c r="D49" s="117" t="s">
        <v>465</v>
      </c>
      <c r="E49" s="25"/>
      <c r="F49" s="23"/>
      <c r="G49" s="24">
        <v>1</v>
      </c>
      <c r="H49" s="117" t="s">
        <v>434</v>
      </c>
      <c r="I49" s="25"/>
      <c r="J49" s="23"/>
      <c r="K49" s="24"/>
      <c r="L49" s="117" t="s">
        <v>401</v>
      </c>
      <c r="M49" s="25"/>
    </row>
    <row r="50" spans="1:13" ht="94.5" customHeight="1" thickBot="1">
      <c r="A50" s="101"/>
      <c r="B50" s="26"/>
      <c r="C50" s="27"/>
      <c r="D50" s="118"/>
      <c r="E50" s="28"/>
      <c r="F50" s="26"/>
      <c r="G50" s="27"/>
      <c r="H50" s="118"/>
      <c r="I50" s="28"/>
      <c r="J50" s="26"/>
      <c r="K50" s="27"/>
      <c r="L50" s="118"/>
      <c r="M50" s="28"/>
    </row>
    <row r="51" spans="1:13" ht="6.75" customHeight="1" thickBot="1">
      <c r="A51" s="99" t="s">
        <v>135</v>
      </c>
      <c r="B51" s="15"/>
      <c r="C51" s="16"/>
      <c r="D51" s="17"/>
      <c r="E51" s="18"/>
      <c r="F51" s="19"/>
      <c r="G51" s="20"/>
      <c r="H51" s="21"/>
      <c r="I51" s="18"/>
      <c r="J51" s="19"/>
      <c r="K51" s="20"/>
      <c r="L51" s="17"/>
      <c r="M51" s="22"/>
    </row>
    <row r="52" spans="1:13" ht="15" customHeight="1" thickBot="1">
      <c r="A52" s="100"/>
      <c r="B52" s="23"/>
      <c r="C52" s="24"/>
      <c r="D52" s="117" t="s">
        <v>466</v>
      </c>
      <c r="E52" s="25"/>
      <c r="F52" s="23"/>
      <c r="G52" s="24">
        <v>1</v>
      </c>
      <c r="H52" s="117" t="s">
        <v>435</v>
      </c>
      <c r="I52" s="25"/>
      <c r="J52" s="23"/>
      <c r="K52" s="24"/>
      <c r="L52" s="117" t="s">
        <v>402</v>
      </c>
      <c r="M52" s="25"/>
    </row>
    <row r="53" spans="1:13" ht="94.5" customHeight="1" thickBot="1">
      <c r="A53" s="101"/>
      <c r="B53" s="26"/>
      <c r="C53" s="27"/>
      <c r="D53" s="118"/>
      <c r="E53" s="28"/>
      <c r="F53" s="26"/>
      <c r="G53" s="27"/>
      <c r="H53" s="118"/>
      <c r="I53" s="28"/>
      <c r="J53" s="26"/>
      <c r="K53" s="27"/>
      <c r="L53" s="118"/>
      <c r="M53" s="28"/>
    </row>
    <row r="54" spans="1:13" ht="6" customHeight="1" thickBot="1">
      <c r="A54" s="99" t="s">
        <v>136</v>
      </c>
      <c r="B54" s="15"/>
      <c r="C54" s="16"/>
      <c r="D54" s="17"/>
      <c r="E54" s="18"/>
      <c r="F54" s="19"/>
      <c r="G54" s="20"/>
      <c r="H54" s="21"/>
      <c r="I54" s="18"/>
      <c r="J54" s="19"/>
      <c r="K54" s="20"/>
      <c r="L54" s="17"/>
      <c r="M54" s="22"/>
    </row>
    <row r="55" spans="1:13" ht="15" customHeight="1" thickBot="1">
      <c r="A55" s="100"/>
      <c r="B55" s="23"/>
      <c r="C55" s="24"/>
      <c r="D55" s="117" t="s">
        <v>467</v>
      </c>
      <c r="E55" s="25"/>
      <c r="F55" s="23"/>
      <c r="G55" s="24">
        <v>1</v>
      </c>
      <c r="H55" s="117" t="s">
        <v>436</v>
      </c>
      <c r="I55" s="25"/>
      <c r="J55" s="23"/>
      <c r="K55" s="24"/>
      <c r="L55" s="117" t="s">
        <v>403</v>
      </c>
      <c r="M55" s="25"/>
    </row>
    <row r="56" spans="1:13" ht="92.25" customHeight="1" thickBot="1">
      <c r="A56" s="101"/>
      <c r="B56" s="26"/>
      <c r="C56" s="27"/>
      <c r="D56" s="118"/>
      <c r="E56" s="28"/>
      <c r="F56" s="26"/>
      <c r="G56" s="27"/>
      <c r="H56" s="118"/>
      <c r="I56" s="28"/>
      <c r="J56" s="26"/>
      <c r="K56" s="27"/>
      <c r="L56" s="118"/>
      <c r="M56" s="28"/>
    </row>
    <row r="57" spans="1:13" ht="6" customHeight="1" thickBot="1">
      <c r="A57" s="99" t="s">
        <v>137</v>
      </c>
      <c r="B57" s="15"/>
      <c r="C57" s="16"/>
      <c r="D57" s="17"/>
      <c r="E57" s="18"/>
      <c r="F57" s="19"/>
      <c r="G57" s="20"/>
      <c r="H57" s="21"/>
      <c r="I57" s="18"/>
      <c r="J57" s="19"/>
      <c r="K57" s="20"/>
      <c r="L57" s="17"/>
      <c r="M57" s="22"/>
    </row>
    <row r="58" spans="1:13" ht="15.75" customHeight="1" thickBot="1">
      <c r="A58" s="100"/>
      <c r="B58" s="23"/>
      <c r="C58" s="24"/>
      <c r="D58" s="117" t="s">
        <v>483</v>
      </c>
      <c r="E58" s="25"/>
      <c r="F58" s="23"/>
      <c r="G58" s="24"/>
      <c r="H58" s="117" t="s">
        <v>437</v>
      </c>
      <c r="I58" s="25"/>
      <c r="J58" s="23"/>
      <c r="K58" s="24">
        <v>2</v>
      </c>
      <c r="L58" s="117" t="s">
        <v>404</v>
      </c>
      <c r="M58" s="25"/>
    </row>
    <row r="59" spans="1:13" ht="92.25" customHeight="1" thickBot="1">
      <c r="A59" s="101"/>
      <c r="B59" s="26"/>
      <c r="C59" s="27"/>
      <c r="D59" s="118"/>
      <c r="E59" s="28"/>
      <c r="F59" s="26"/>
      <c r="G59" s="27"/>
      <c r="H59" s="118"/>
      <c r="I59" s="28"/>
      <c r="J59" s="26"/>
      <c r="K59" s="27"/>
      <c r="L59" s="118"/>
      <c r="M59" s="28"/>
    </row>
    <row r="60" spans="1:13" ht="6" customHeight="1" thickBot="1">
      <c r="A60" s="99" t="s">
        <v>138</v>
      </c>
      <c r="B60" s="15"/>
      <c r="C60" s="16"/>
      <c r="D60" s="17"/>
      <c r="E60" s="18"/>
      <c r="F60" s="19"/>
      <c r="G60" s="20"/>
      <c r="H60" s="21"/>
      <c r="I60" s="18"/>
      <c r="J60" s="19"/>
      <c r="K60" s="20"/>
      <c r="L60" s="17"/>
      <c r="M60" s="22"/>
    </row>
    <row r="61" spans="1:13" ht="15" customHeight="1" thickBot="1">
      <c r="A61" s="100"/>
      <c r="B61" s="23"/>
      <c r="C61" s="24"/>
      <c r="D61" s="117" t="s">
        <v>484</v>
      </c>
      <c r="E61" s="25"/>
      <c r="F61" s="23"/>
      <c r="G61" s="24"/>
      <c r="H61" s="117" t="s">
        <v>438</v>
      </c>
      <c r="I61" s="25"/>
      <c r="J61" s="23"/>
      <c r="K61" s="24">
        <v>2</v>
      </c>
      <c r="L61" s="117" t="s">
        <v>405</v>
      </c>
      <c r="M61" s="25"/>
    </row>
    <row r="62" spans="1:13" ht="93.75" customHeight="1" thickBot="1">
      <c r="A62" s="101"/>
      <c r="B62" s="26"/>
      <c r="C62" s="27"/>
      <c r="D62" s="118"/>
      <c r="E62" s="28"/>
      <c r="F62" s="26"/>
      <c r="G62" s="27"/>
      <c r="H62" s="118"/>
      <c r="I62" s="28"/>
      <c r="J62" s="26"/>
      <c r="K62" s="27"/>
      <c r="L62" s="118"/>
      <c r="M62" s="28"/>
    </row>
    <row r="63" spans="1:13" ht="6" customHeight="1" thickBot="1">
      <c r="A63" s="99" t="s">
        <v>139</v>
      </c>
      <c r="B63" s="15"/>
      <c r="C63" s="16"/>
      <c r="D63" s="17"/>
      <c r="E63" s="18"/>
      <c r="F63" s="19"/>
      <c r="G63" s="20"/>
      <c r="H63" s="21"/>
      <c r="I63" s="18"/>
      <c r="J63" s="19"/>
      <c r="K63" s="20"/>
      <c r="L63" s="17"/>
      <c r="M63" s="22"/>
    </row>
    <row r="64" spans="1:13" ht="15" customHeight="1" thickBot="1">
      <c r="A64" s="100"/>
      <c r="B64" s="23"/>
      <c r="C64" s="24"/>
      <c r="D64" s="117" t="s">
        <v>485</v>
      </c>
      <c r="E64" s="25"/>
      <c r="F64" s="23"/>
      <c r="G64" s="24"/>
      <c r="H64" s="117" t="s">
        <v>439</v>
      </c>
      <c r="I64" s="25"/>
      <c r="J64" s="23"/>
      <c r="K64" s="24">
        <v>2</v>
      </c>
      <c r="L64" s="117" t="s">
        <v>406</v>
      </c>
      <c r="M64" s="25"/>
    </row>
    <row r="65" spans="1:13" ht="91.5" customHeight="1" thickBot="1">
      <c r="A65" s="101"/>
      <c r="B65" s="26"/>
      <c r="C65" s="27"/>
      <c r="D65" s="118"/>
      <c r="E65" s="28"/>
      <c r="F65" s="26"/>
      <c r="G65" s="27"/>
      <c r="H65" s="118"/>
      <c r="I65" s="28"/>
      <c r="J65" s="26"/>
      <c r="K65" s="27"/>
      <c r="L65" s="118"/>
      <c r="M65" s="28"/>
    </row>
    <row r="66" spans="1:13" ht="6" customHeight="1" thickBot="1">
      <c r="A66" s="99" t="s">
        <v>131</v>
      </c>
      <c r="B66" s="15"/>
      <c r="C66" s="16"/>
      <c r="D66" s="17"/>
      <c r="E66" s="18"/>
      <c r="F66" s="19"/>
      <c r="G66" s="20"/>
      <c r="H66" s="21"/>
      <c r="I66" s="18"/>
      <c r="J66" s="19"/>
      <c r="K66" s="20"/>
      <c r="L66" s="17"/>
      <c r="M66" s="22"/>
    </row>
    <row r="67" spans="1:13" ht="15" customHeight="1" thickBot="1">
      <c r="A67" s="100"/>
      <c r="B67" s="23"/>
      <c r="C67" s="24"/>
      <c r="D67" s="117" t="s">
        <v>486</v>
      </c>
      <c r="E67" s="25"/>
      <c r="F67" s="23"/>
      <c r="G67" s="24"/>
      <c r="H67" s="117" t="s">
        <v>440</v>
      </c>
      <c r="I67" s="25"/>
      <c r="J67" s="23"/>
      <c r="K67" s="24">
        <v>2</v>
      </c>
      <c r="L67" s="117" t="s">
        <v>407</v>
      </c>
      <c r="M67" s="25"/>
    </row>
    <row r="68" spans="1:13" ht="107.25" customHeight="1" thickBot="1">
      <c r="A68" s="101"/>
      <c r="B68" s="26"/>
      <c r="C68" s="27"/>
      <c r="D68" s="118"/>
      <c r="E68" s="28"/>
      <c r="F68" s="26"/>
      <c r="G68" s="27"/>
      <c r="H68" s="118"/>
      <c r="I68" s="28"/>
      <c r="J68" s="26"/>
      <c r="K68" s="27"/>
      <c r="L68" s="118"/>
      <c r="M68" s="28"/>
    </row>
    <row r="69" spans="1:13" ht="6" customHeight="1" thickBot="1">
      <c r="A69" s="99" t="s">
        <v>132</v>
      </c>
      <c r="B69" s="15"/>
      <c r="C69" s="16"/>
      <c r="D69" s="17"/>
      <c r="E69" s="18"/>
      <c r="F69" s="19"/>
      <c r="G69" s="20"/>
      <c r="H69" s="21"/>
      <c r="I69" s="18"/>
      <c r="J69" s="19"/>
      <c r="K69" s="20"/>
      <c r="L69" s="17"/>
      <c r="M69" s="22"/>
    </row>
    <row r="70" spans="1:13" ht="15" customHeight="1" thickBot="1">
      <c r="A70" s="100"/>
      <c r="B70" s="23"/>
      <c r="C70" s="24"/>
      <c r="D70" s="117" t="s">
        <v>468</v>
      </c>
      <c r="E70" s="25"/>
      <c r="F70" s="23"/>
      <c r="G70" s="24"/>
      <c r="H70" s="117" t="s">
        <v>441</v>
      </c>
      <c r="I70" s="25"/>
      <c r="J70" s="23"/>
      <c r="K70" s="24">
        <v>2</v>
      </c>
      <c r="L70" s="117" t="s">
        <v>408</v>
      </c>
      <c r="M70" s="25"/>
    </row>
    <row r="71" spans="1:13" ht="91.5" customHeight="1" thickBot="1">
      <c r="A71" s="101"/>
      <c r="B71" s="26"/>
      <c r="C71" s="27"/>
      <c r="D71" s="118"/>
      <c r="E71" s="28"/>
      <c r="F71" s="26"/>
      <c r="G71" s="27"/>
      <c r="H71" s="118"/>
      <c r="I71" s="28"/>
      <c r="J71" s="26"/>
      <c r="K71" s="27"/>
      <c r="L71" s="118"/>
      <c r="M71" s="28"/>
    </row>
    <row r="72" spans="1:13" ht="6" customHeight="1" thickBot="1">
      <c r="A72" s="99" t="s">
        <v>140</v>
      </c>
      <c r="B72" s="15"/>
      <c r="C72" s="16"/>
      <c r="D72" s="17"/>
      <c r="E72" s="18"/>
      <c r="F72" s="19"/>
      <c r="G72" s="20"/>
      <c r="H72" s="21"/>
      <c r="I72" s="18"/>
      <c r="J72" s="19"/>
      <c r="K72" s="20"/>
      <c r="L72" s="17"/>
      <c r="M72" s="22"/>
    </row>
    <row r="73" spans="1:13" ht="15" customHeight="1" thickBot="1">
      <c r="A73" s="100"/>
      <c r="B73" s="23"/>
      <c r="C73" s="24"/>
      <c r="D73" s="117" t="s">
        <v>469</v>
      </c>
      <c r="E73" s="25"/>
      <c r="F73" s="23"/>
      <c r="G73" s="24">
        <v>1</v>
      </c>
      <c r="H73" s="117" t="s">
        <v>442</v>
      </c>
      <c r="I73" s="25"/>
      <c r="J73" s="23"/>
      <c r="K73" s="24"/>
      <c r="L73" s="117" t="s">
        <v>409</v>
      </c>
      <c r="M73" s="25"/>
    </row>
    <row r="74" spans="1:13" ht="94.5" customHeight="1" thickBot="1">
      <c r="A74" s="101"/>
      <c r="B74" s="26"/>
      <c r="C74" s="27"/>
      <c r="D74" s="118"/>
      <c r="E74" s="28"/>
      <c r="F74" s="26"/>
      <c r="G74" s="27"/>
      <c r="H74" s="118"/>
      <c r="I74" s="28"/>
      <c r="J74" s="26"/>
      <c r="K74" s="27"/>
      <c r="L74" s="118"/>
      <c r="M74" s="28"/>
    </row>
    <row r="75" spans="1:13" ht="6" customHeight="1" thickBot="1">
      <c r="A75" s="99" t="s">
        <v>141</v>
      </c>
      <c r="B75" s="15"/>
      <c r="C75" s="16"/>
      <c r="D75" s="17"/>
      <c r="E75" s="18"/>
      <c r="F75" s="19"/>
      <c r="G75" s="20"/>
      <c r="H75" s="21"/>
      <c r="I75" s="18"/>
      <c r="J75" s="19"/>
      <c r="K75" s="20"/>
      <c r="L75" s="17"/>
      <c r="M75" s="22"/>
    </row>
    <row r="76" spans="1:13" ht="15" customHeight="1" thickBot="1">
      <c r="A76" s="100"/>
      <c r="B76" s="23"/>
      <c r="C76" s="24"/>
      <c r="D76" s="117" t="s">
        <v>470</v>
      </c>
      <c r="E76" s="25"/>
      <c r="F76" s="23"/>
      <c r="G76" s="24">
        <v>1</v>
      </c>
      <c r="H76" s="117" t="s">
        <v>443</v>
      </c>
      <c r="I76" s="25"/>
      <c r="J76" s="23"/>
      <c r="K76" s="24"/>
      <c r="L76" s="117" t="s">
        <v>410</v>
      </c>
      <c r="M76" s="25"/>
    </row>
    <row r="77" spans="1:13" ht="90.75" customHeight="1" thickBot="1">
      <c r="A77" s="101"/>
      <c r="B77" s="26"/>
      <c r="C77" s="27"/>
      <c r="D77" s="118"/>
      <c r="E77" s="28"/>
      <c r="F77" s="26"/>
      <c r="G77" s="27"/>
      <c r="H77" s="118"/>
      <c r="I77" s="28"/>
      <c r="J77" s="26"/>
      <c r="K77" s="27"/>
      <c r="L77" s="118"/>
      <c r="M77" s="28"/>
    </row>
    <row r="78" spans="1:13" ht="6" customHeight="1" thickBot="1">
      <c r="A78" s="99" t="s">
        <v>378</v>
      </c>
      <c r="B78" s="15"/>
      <c r="C78" s="16"/>
      <c r="D78" s="17"/>
      <c r="E78" s="18"/>
      <c r="F78" s="19"/>
      <c r="G78" s="20"/>
      <c r="H78" s="21"/>
      <c r="I78" s="18"/>
      <c r="J78" s="19"/>
      <c r="K78" s="20"/>
      <c r="L78" s="17"/>
      <c r="M78" s="22"/>
    </row>
    <row r="79" spans="1:13" ht="15" customHeight="1" thickBot="1">
      <c r="A79" s="100"/>
      <c r="B79" s="23"/>
      <c r="C79" s="24"/>
      <c r="D79" s="117" t="s">
        <v>471</v>
      </c>
      <c r="E79" s="25"/>
      <c r="F79" s="23"/>
      <c r="G79" s="24">
        <v>1</v>
      </c>
      <c r="H79" s="117" t="s">
        <v>444</v>
      </c>
      <c r="I79" s="25"/>
      <c r="J79" s="23"/>
      <c r="K79" s="24"/>
      <c r="L79" s="117" t="s">
        <v>411</v>
      </c>
      <c r="M79" s="25"/>
    </row>
    <row r="80" spans="1:13" ht="92.25" customHeight="1" thickBot="1">
      <c r="A80" s="101"/>
      <c r="B80" s="26"/>
      <c r="C80" s="27"/>
      <c r="D80" s="118"/>
      <c r="E80" s="28"/>
      <c r="F80" s="26"/>
      <c r="G80" s="27"/>
      <c r="H80" s="118"/>
      <c r="I80" s="28"/>
      <c r="J80" s="26"/>
      <c r="K80" s="27"/>
      <c r="L80" s="118"/>
      <c r="M80" s="28"/>
    </row>
    <row r="81" spans="1:13" ht="6" customHeight="1" thickBot="1">
      <c r="A81" s="99" t="s">
        <v>142</v>
      </c>
      <c r="B81" s="15"/>
      <c r="C81" s="16"/>
      <c r="D81" s="17"/>
      <c r="E81" s="18"/>
      <c r="F81" s="19"/>
      <c r="G81" s="20"/>
      <c r="H81" s="21"/>
      <c r="I81" s="18"/>
      <c r="J81" s="19"/>
      <c r="K81" s="20"/>
      <c r="L81" s="17"/>
      <c r="M81" s="22"/>
    </row>
    <row r="82" spans="1:13" ht="15" customHeight="1" thickBot="1">
      <c r="A82" s="100"/>
      <c r="B82" s="23"/>
      <c r="C82" s="24"/>
      <c r="D82" s="117" t="s">
        <v>487</v>
      </c>
      <c r="E82" s="25"/>
      <c r="F82" s="23"/>
      <c r="G82" s="24">
        <v>1</v>
      </c>
      <c r="H82" s="117" t="s">
        <v>445</v>
      </c>
      <c r="I82" s="25"/>
      <c r="J82" s="23"/>
      <c r="K82" s="24"/>
      <c r="L82" s="117" t="s">
        <v>412</v>
      </c>
      <c r="M82" s="25"/>
    </row>
    <row r="83" spans="1:13" ht="96" customHeight="1" thickBot="1">
      <c r="A83" s="101"/>
      <c r="B83" s="26"/>
      <c r="C83" s="27"/>
      <c r="D83" s="118"/>
      <c r="E83" s="28"/>
      <c r="F83" s="26"/>
      <c r="G83" s="27"/>
      <c r="H83" s="118"/>
      <c r="I83" s="28"/>
      <c r="J83" s="26"/>
      <c r="K83" s="27"/>
      <c r="L83" s="118"/>
      <c r="M83" s="28"/>
    </row>
    <row r="84" spans="1:13" ht="6" customHeight="1" thickBot="1">
      <c r="A84" s="99" t="s">
        <v>143</v>
      </c>
      <c r="B84" s="15"/>
      <c r="C84" s="16"/>
      <c r="D84" s="17"/>
      <c r="E84" s="18"/>
      <c r="F84" s="19"/>
      <c r="G84" s="20"/>
      <c r="H84" s="21"/>
      <c r="I84" s="18"/>
      <c r="J84" s="19"/>
      <c r="K84" s="20"/>
      <c r="L84" s="17"/>
      <c r="M84" s="22"/>
    </row>
    <row r="85" spans="1:13" ht="15" customHeight="1" thickBot="1">
      <c r="A85" s="100"/>
      <c r="B85" s="23"/>
      <c r="C85" s="24"/>
      <c r="D85" s="117" t="s">
        <v>472</v>
      </c>
      <c r="E85" s="25"/>
      <c r="F85" s="23"/>
      <c r="G85" s="24">
        <v>1</v>
      </c>
      <c r="H85" s="117" t="s">
        <v>446</v>
      </c>
      <c r="I85" s="25"/>
      <c r="J85" s="23"/>
      <c r="K85" s="24"/>
      <c r="L85" s="117" t="s">
        <v>413</v>
      </c>
      <c r="M85" s="25"/>
    </row>
    <row r="86" spans="1:13" ht="94.5" customHeight="1" thickBot="1">
      <c r="A86" s="101"/>
      <c r="B86" s="26"/>
      <c r="C86" s="27"/>
      <c r="D86" s="118"/>
      <c r="E86" s="28"/>
      <c r="F86" s="26"/>
      <c r="G86" s="27"/>
      <c r="H86" s="118"/>
      <c r="I86" s="28"/>
      <c r="J86" s="26"/>
      <c r="K86" s="27"/>
      <c r="L86" s="118"/>
      <c r="M86" s="28"/>
    </row>
    <row r="87" spans="1:13" ht="6" customHeight="1" thickBot="1">
      <c r="A87" s="99" t="s">
        <v>145</v>
      </c>
      <c r="B87" s="15"/>
      <c r="C87" s="16"/>
      <c r="D87" s="17"/>
      <c r="E87" s="18"/>
      <c r="F87" s="19"/>
      <c r="G87" s="20"/>
      <c r="H87" s="21"/>
      <c r="I87" s="18"/>
      <c r="J87" s="19"/>
      <c r="K87" s="20"/>
      <c r="L87" s="17"/>
      <c r="M87" s="22"/>
    </row>
    <row r="88" spans="1:13" ht="15" customHeight="1" thickBot="1">
      <c r="A88" s="100"/>
      <c r="B88" s="23"/>
      <c r="C88" s="24"/>
      <c r="D88" s="117" t="s">
        <v>488</v>
      </c>
      <c r="E88" s="25"/>
      <c r="F88" s="23"/>
      <c r="G88" s="24">
        <v>1</v>
      </c>
      <c r="H88" s="117" t="s">
        <v>447</v>
      </c>
      <c r="I88" s="25"/>
      <c r="J88" s="23"/>
      <c r="K88" s="24"/>
      <c r="L88" s="117" t="s">
        <v>414</v>
      </c>
      <c r="M88" s="25"/>
    </row>
    <row r="89" spans="1:13" ht="93" customHeight="1" thickBot="1">
      <c r="A89" s="101"/>
      <c r="B89" s="26"/>
      <c r="C89" s="27"/>
      <c r="D89" s="118"/>
      <c r="E89" s="28"/>
      <c r="F89" s="26"/>
      <c r="G89" s="27"/>
      <c r="H89" s="118"/>
      <c r="I89" s="28"/>
      <c r="J89" s="26"/>
      <c r="K89" s="27"/>
      <c r="L89" s="118"/>
      <c r="M89" s="28"/>
    </row>
    <row r="90" spans="1:13" ht="6" customHeight="1" thickBot="1">
      <c r="A90" s="99" t="s">
        <v>144</v>
      </c>
      <c r="B90" s="15"/>
      <c r="C90" s="16"/>
      <c r="D90" s="17"/>
      <c r="E90" s="18"/>
      <c r="F90" s="19"/>
      <c r="G90" s="20"/>
      <c r="H90" s="21"/>
      <c r="I90" s="18"/>
      <c r="J90" s="19"/>
      <c r="K90" s="20"/>
      <c r="L90" s="17"/>
      <c r="M90" s="22"/>
    </row>
    <row r="91" spans="1:13" ht="15" customHeight="1" thickBot="1">
      <c r="A91" s="100"/>
      <c r="B91" s="23"/>
      <c r="C91" s="24"/>
      <c r="D91" s="117" t="s">
        <v>473</v>
      </c>
      <c r="E91" s="25"/>
      <c r="F91" s="23"/>
      <c r="G91" s="24">
        <v>1</v>
      </c>
      <c r="H91" s="117" t="s">
        <v>448</v>
      </c>
      <c r="I91" s="25"/>
      <c r="J91" s="23"/>
      <c r="K91" s="24"/>
      <c r="L91" s="117" t="s">
        <v>415</v>
      </c>
      <c r="M91" s="25"/>
    </row>
    <row r="92" spans="1:13" ht="94.5" customHeight="1" thickBot="1">
      <c r="A92" s="101"/>
      <c r="B92" s="26"/>
      <c r="C92" s="27"/>
      <c r="D92" s="118"/>
      <c r="E92" s="28"/>
      <c r="F92" s="26"/>
      <c r="G92" s="27"/>
      <c r="H92" s="118"/>
      <c r="I92" s="28"/>
      <c r="J92" s="26"/>
      <c r="K92" s="27"/>
      <c r="L92" s="118"/>
      <c r="M92" s="28"/>
    </row>
    <row r="93" spans="1:13" ht="6" customHeight="1" thickBot="1">
      <c r="A93" s="99" t="s">
        <v>146</v>
      </c>
      <c r="B93" s="15"/>
      <c r="C93" s="16"/>
      <c r="D93" s="17"/>
      <c r="E93" s="18"/>
      <c r="F93" s="19"/>
      <c r="G93" s="20"/>
      <c r="H93" s="21"/>
      <c r="I93" s="18"/>
      <c r="J93" s="19"/>
      <c r="K93" s="20"/>
      <c r="L93" s="17"/>
      <c r="M93" s="22"/>
    </row>
    <row r="94" spans="1:13" ht="15" customHeight="1" thickBot="1">
      <c r="A94" s="100"/>
      <c r="B94" s="23"/>
      <c r="C94" s="24"/>
      <c r="D94" s="117" t="s">
        <v>474</v>
      </c>
      <c r="E94" s="25"/>
      <c r="F94" s="23"/>
      <c r="G94" s="24">
        <v>1</v>
      </c>
      <c r="H94" s="117" t="s">
        <v>449</v>
      </c>
      <c r="I94" s="25"/>
      <c r="J94" s="23"/>
      <c r="K94" s="24"/>
      <c r="L94" s="117" t="s">
        <v>416</v>
      </c>
      <c r="M94" s="25"/>
    </row>
    <row r="95" spans="1:13" ht="93.75" customHeight="1" thickBot="1">
      <c r="A95" s="101"/>
      <c r="B95" s="26"/>
      <c r="C95" s="27"/>
      <c r="D95" s="118"/>
      <c r="E95" s="28"/>
      <c r="F95" s="26"/>
      <c r="G95" s="27"/>
      <c r="H95" s="118"/>
      <c r="I95" s="28"/>
      <c r="J95" s="26"/>
      <c r="K95" s="27"/>
      <c r="L95" s="118"/>
      <c r="M95" s="28"/>
    </row>
    <row r="96" spans="1:13" ht="6" customHeight="1" thickBot="1">
      <c r="A96" s="99" t="s">
        <v>379</v>
      </c>
      <c r="B96" s="15"/>
      <c r="C96" s="16"/>
      <c r="D96" s="17"/>
      <c r="E96" s="18"/>
      <c r="F96" s="19"/>
      <c r="G96" s="20"/>
      <c r="H96" s="21"/>
      <c r="I96" s="18"/>
      <c r="J96" s="19"/>
      <c r="K96" s="20"/>
      <c r="L96" s="17"/>
      <c r="M96" s="22"/>
    </row>
    <row r="97" spans="1:13" ht="15" customHeight="1" thickBot="1">
      <c r="A97" s="100"/>
      <c r="B97" s="23"/>
      <c r="C97" s="24"/>
      <c r="D97" s="117" t="s">
        <v>475</v>
      </c>
      <c r="E97" s="25"/>
      <c r="F97" s="23"/>
      <c r="G97" s="24">
        <v>1</v>
      </c>
      <c r="H97" s="117" t="s">
        <v>450</v>
      </c>
      <c r="I97" s="25"/>
      <c r="J97" s="23"/>
      <c r="K97" s="24"/>
      <c r="L97" s="117" t="s">
        <v>417</v>
      </c>
      <c r="M97" s="25"/>
    </row>
    <row r="98" spans="1:13" ht="94.5" customHeight="1" thickBot="1">
      <c r="A98" s="101"/>
      <c r="B98" s="26"/>
      <c r="C98" s="27"/>
      <c r="D98" s="118"/>
      <c r="E98" s="28"/>
      <c r="F98" s="26"/>
      <c r="G98" s="27"/>
      <c r="H98" s="118"/>
      <c r="I98" s="28"/>
      <c r="J98" s="26"/>
      <c r="K98" s="27"/>
      <c r="L98" s="118"/>
      <c r="M98" s="28"/>
    </row>
    <row r="99" spans="1:13" ht="6" customHeight="1" thickBot="1">
      <c r="A99" s="99" t="s">
        <v>147</v>
      </c>
      <c r="B99" s="15"/>
      <c r="C99" s="16"/>
      <c r="D99" s="17"/>
      <c r="E99" s="18"/>
      <c r="F99" s="19"/>
      <c r="G99" s="20"/>
      <c r="H99" s="21"/>
      <c r="I99" s="18"/>
      <c r="J99" s="19"/>
      <c r="K99" s="20"/>
      <c r="L99" s="17"/>
      <c r="M99" s="22"/>
    </row>
    <row r="100" spans="1:13" ht="15" customHeight="1" thickBot="1">
      <c r="A100" s="100"/>
      <c r="B100" s="23"/>
      <c r="C100" s="24"/>
      <c r="D100" s="117" t="s">
        <v>476</v>
      </c>
      <c r="E100" s="25"/>
      <c r="F100" s="23"/>
      <c r="G100" s="24">
        <v>1</v>
      </c>
      <c r="H100" s="117" t="s">
        <v>451</v>
      </c>
      <c r="I100" s="25"/>
      <c r="J100" s="23"/>
      <c r="K100" s="24"/>
      <c r="L100" s="117" t="s">
        <v>418</v>
      </c>
      <c r="M100" s="25"/>
    </row>
    <row r="101" spans="1:13" ht="92.25" customHeight="1" thickBot="1">
      <c r="A101" s="101"/>
      <c r="B101" s="26"/>
      <c r="C101" s="27"/>
      <c r="D101" s="118"/>
      <c r="E101" s="28"/>
      <c r="F101" s="26"/>
      <c r="G101" s="27"/>
      <c r="H101" s="118"/>
      <c r="I101" s="28"/>
      <c r="J101" s="26"/>
      <c r="K101" s="27"/>
      <c r="L101" s="118"/>
      <c r="M101" s="28"/>
    </row>
    <row r="102" spans="1:13" ht="6" customHeight="1" thickBot="1">
      <c r="A102" s="99" t="s">
        <v>150</v>
      </c>
      <c r="B102" s="15"/>
      <c r="C102" s="16"/>
      <c r="D102" s="17"/>
      <c r="E102" s="18"/>
      <c r="F102" s="19"/>
      <c r="G102" s="20"/>
      <c r="H102" s="21"/>
      <c r="I102" s="18"/>
      <c r="J102" s="19"/>
      <c r="K102" s="20"/>
      <c r="L102" s="17"/>
      <c r="M102" s="22"/>
    </row>
    <row r="103" spans="1:13" ht="15" customHeight="1" thickBot="1">
      <c r="A103" s="100"/>
      <c r="B103" s="23"/>
      <c r="C103" s="24"/>
      <c r="D103" s="117" t="s">
        <v>477</v>
      </c>
      <c r="E103" s="25"/>
      <c r="F103" s="23"/>
      <c r="G103" s="24">
        <v>1</v>
      </c>
      <c r="H103" s="117" t="s">
        <v>452</v>
      </c>
      <c r="I103" s="25"/>
      <c r="J103" s="23"/>
      <c r="K103" s="24"/>
      <c r="L103" s="117" t="s">
        <v>419</v>
      </c>
      <c r="M103" s="25"/>
    </row>
    <row r="104" spans="1:13" ht="94.5" customHeight="1" thickBot="1">
      <c r="A104" s="101"/>
      <c r="B104" s="26"/>
      <c r="C104" s="27"/>
      <c r="D104" s="118"/>
      <c r="E104" s="28"/>
      <c r="F104" s="26"/>
      <c r="G104" s="27"/>
      <c r="H104" s="118"/>
      <c r="I104" s="28"/>
      <c r="J104" s="26"/>
      <c r="K104" s="27"/>
      <c r="L104" s="118"/>
      <c r="M104" s="28"/>
    </row>
    <row r="105" spans="1:13" ht="6" customHeight="1" thickBot="1">
      <c r="A105" s="99" t="s">
        <v>151</v>
      </c>
      <c r="B105" s="15"/>
      <c r="C105" s="16"/>
      <c r="D105" s="17"/>
      <c r="E105" s="18"/>
      <c r="F105" s="19"/>
      <c r="G105" s="20"/>
      <c r="H105" s="21"/>
      <c r="I105" s="18"/>
      <c r="J105" s="19"/>
      <c r="K105" s="20"/>
      <c r="L105" s="17"/>
      <c r="M105" s="22"/>
    </row>
    <row r="106" spans="1:13" ht="15" customHeight="1" thickBot="1">
      <c r="A106" s="100"/>
      <c r="B106" s="23"/>
      <c r="C106" s="24"/>
      <c r="D106" s="117" t="s">
        <v>489</v>
      </c>
      <c r="E106" s="25"/>
      <c r="F106" s="23"/>
      <c r="G106" s="24">
        <v>1</v>
      </c>
      <c r="H106" s="117" t="s">
        <v>453</v>
      </c>
      <c r="I106" s="25"/>
      <c r="J106" s="23"/>
      <c r="K106" s="24"/>
      <c r="L106" s="117" t="s">
        <v>420</v>
      </c>
      <c r="M106" s="25"/>
    </row>
    <row r="107" spans="1:13" ht="93" customHeight="1" thickBot="1">
      <c r="A107" s="101"/>
      <c r="B107" s="26"/>
      <c r="C107" s="27"/>
      <c r="D107" s="118"/>
      <c r="E107" s="28"/>
      <c r="F107" s="26"/>
      <c r="G107" s="27"/>
      <c r="H107" s="118"/>
      <c r="I107" s="28"/>
      <c r="J107" s="26"/>
      <c r="K107" s="27"/>
      <c r="L107" s="118"/>
      <c r="M107" s="28"/>
    </row>
    <row r="108" spans="1:13" ht="6" customHeight="1" thickBot="1">
      <c r="A108" s="99" t="s">
        <v>148</v>
      </c>
      <c r="B108" s="15"/>
      <c r="C108" s="16"/>
      <c r="D108" s="17"/>
      <c r="E108" s="18"/>
      <c r="F108" s="19"/>
      <c r="G108" s="20"/>
      <c r="H108" s="21"/>
      <c r="I108" s="18"/>
      <c r="J108" s="19"/>
      <c r="K108" s="20"/>
      <c r="L108" s="17"/>
      <c r="M108" s="22"/>
    </row>
    <row r="109" spans="1:13" ht="15" customHeight="1" thickBot="1">
      <c r="A109" s="100"/>
      <c r="B109" s="23"/>
      <c r="C109" s="24"/>
      <c r="D109" s="117" t="s">
        <v>478</v>
      </c>
      <c r="E109" s="25"/>
      <c r="F109" s="23"/>
      <c r="G109" s="24">
        <v>1</v>
      </c>
      <c r="H109" s="117" t="s">
        <v>454</v>
      </c>
      <c r="I109" s="25"/>
      <c r="J109" s="23"/>
      <c r="K109" s="24"/>
      <c r="L109" s="117" t="s">
        <v>421</v>
      </c>
      <c r="M109" s="25"/>
    </row>
    <row r="110" spans="1:13" ht="96" customHeight="1" thickBot="1">
      <c r="A110" s="101"/>
      <c r="B110" s="26"/>
      <c r="C110" s="27"/>
      <c r="D110" s="118"/>
      <c r="E110" s="28"/>
      <c r="F110" s="26"/>
      <c r="G110" s="27"/>
      <c r="H110" s="118"/>
      <c r="I110" s="28"/>
      <c r="J110" s="26"/>
      <c r="K110" s="27"/>
      <c r="L110" s="118"/>
      <c r="M110" s="28"/>
    </row>
    <row r="111" spans="1:13" ht="6" customHeight="1" thickBot="1">
      <c r="A111" s="99" t="s">
        <v>149</v>
      </c>
      <c r="B111" s="15"/>
      <c r="C111" s="16"/>
      <c r="D111" s="17"/>
      <c r="E111" s="18"/>
      <c r="F111" s="19"/>
      <c r="G111" s="20"/>
      <c r="H111" s="21"/>
      <c r="I111" s="18"/>
      <c r="J111" s="19"/>
      <c r="K111" s="20"/>
      <c r="L111" s="17"/>
      <c r="M111" s="22"/>
    </row>
    <row r="112" spans="1:13" ht="15" customHeight="1" thickBot="1">
      <c r="A112" s="100"/>
      <c r="B112" s="23"/>
      <c r="C112" s="24"/>
      <c r="D112" s="117" t="s">
        <v>490</v>
      </c>
      <c r="E112" s="25"/>
      <c r="F112" s="23"/>
      <c r="G112" s="24">
        <v>1</v>
      </c>
      <c r="H112" s="117" t="s">
        <v>455</v>
      </c>
      <c r="I112" s="25"/>
      <c r="J112" s="23"/>
      <c r="K112" s="24"/>
      <c r="L112" s="117" t="s">
        <v>422</v>
      </c>
      <c r="M112" s="25"/>
    </row>
    <row r="113" spans="1:13" ht="93" customHeight="1" thickBot="1">
      <c r="A113" s="101"/>
      <c r="B113" s="26"/>
      <c r="C113" s="27"/>
      <c r="D113" s="118"/>
      <c r="E113" s="28"/>
      <c r="F113" s="26"/>
      <c r="G113" s="27"/>
      <c r="H113" s="118"/>
      <c r="I113" s="28"/>
      <c r="J113" s="26"/>
      <c r="K113" s="27"/>
      <c r="L113" s="118"/>
      <c r="M113" s="28"/>
    </row>
    <row r="114" spans="1:13" ht="6" customHeight="1" thickBot="1">
      <c r="A114" s="99" t="s">
        <v>376</v>
      </c>
      <c r="B114" s="15"/>
      <c r="C114" s="16"/>
      <c r="D114" s="17"/>
      <c r="E114" s="18"/>
      <c r="F114" s="19"/>
      <c r="G114" s="20"/>
      <c r="H114" s="21"/>
      <c r="I114" s="18"/>
      <c r="J114" s="19"/>
      <c r="K114" s="20"/>
      <c r="L114" s="17"/>
      <c r="M114" s="22"/>
    </row>
    <row r="115" spans="1:13" ht="15" customHeight="1" thickBot="1">
      <c r="A115" s="100"/>
      <c r="B115" s="23"/>
      <c r="C115" s="24"/>
      <c r="D115" s="117" t="s">
        <v>479</v>
      </c>
      <c r="E115" s="25"/>
      <c r="F115" s="23"/>
      <c r="G115" s="24">
        <v>1</v>
      </c>
      <c r="H115" s="117" t="s">
        <v>456</v>
      </c>
      <c r="I115" s="25"/>
      <c r="J115" s="23"/>
      <c r="K115" s="24"/>
      <c r="L115" s="117" t="s">
        <v>423</v>
      </c>
      <c r="M115" s="25"/>
    </row>
    <row r="116" spans="1:13" ht="92.25" customHeight="1" thickBot="1">
      <c r="A116" s="101"/>
      <c r="B116" s="26"/>
      <c r="C116" s="27"/>
      <c r="D116" s="118"/>
      <c r="E116" s="28"/>
      <c r="F116" s="26"/>
      <c r="G116" s="27"/>
      <c r="H116" s="118"/>
      <c r="I116" s="28"/>
      <c r="J116" s="26"/>
      <c r="K116" s="27"/>
      <c r="L116" s="118"/>
      <c r="M116" s="28"/>
    </row>
    <row r="117" spans="1:13" ht="6" customHeight="1" thickBot="1">
      <c r="A117" s="99" t="s">
        <v>377</v>
      </c>
      <c r="B117" s="15"/>
      <c r="C117" s="16"/>
      <c r="D117" s="17"/>
      <c r="E117" s="18"/>
      <c r="F117" s="19"/>
      <c r="G117" s="20"/>
      <c r="H117" s="21"/>
      <c r="I117" s="18"/>
      <c r="J117" s="19"/>
      <c r="K117" s="20"/>
      <c r="L117" s="17"/>
      <c r="M117" s="22"/>
    </row>
    <row r="118" spans="1:13" ht="15.75" thickBot="1">
      <c r="A118" s="100"/>
      <c r="B118" s="23"/>
      <c r="C118" s="24"/>
      <c r="D118" s="117" t="s">
        <v>480</v>
      </c>
      <c r="E118" s="25"/>
      <c r="F118" s="23"/>
      <c r="G118" s="24">
        <v>1</v>
      </c>
      <c r="H118" s="117" t="s">
        <v>457</v>
      </c>
      <c r="I118" s="25"/>
      <c r="J118" s="23"/>
      <c r="K118" s="24"/>
      <c r="L118" s="117" t="s">
        <v>424</v>
      </c>
      <c r="M118" s="25"/>
    </row>
    <row r="119" spans="1:13" ht="92.25" customHeight="1" thickBot="1">
      <c r="A119" s="101"/>
      <c r="B119" s="26"/>
      <c r="C119" s="27"/>
      <c r="D119" s="118"/>
      <c r="E119" s="28"/>
      <c r="F119" s="26"/>
      <c r="G119" s="27"/>
      <c r="H119" s="118"/>
      <c r="I119" s="28"/>
      <c r="J119" s="26"/>
      <c r="K119" s="27"/>
      <c r="L119" s="118"/>
      <c r="M119" s="28"/>
    </row>
    <row r="120" spans="1:13" ht="15.75" thickBot="1">
      <c r="D120" s="50"/>
      <c r="E120" s="51"/>
      <c r="F120" s="51"/>
      <c r="G120" s="51"/>
      <c r="H120" s="51"/>
      <c r="I120" s="52"/>
    </row>
    <row r="121" spans="1:13" ht="15.75" thickBot="1">
      <c r="D121" s="53" t="s">
        <v>675</v>
      </c>
      <c r="E121" s="59">
        <f>AVERAGE(C10,G10,K10,C13,G13,K13,C16,G16,K16,C19,G19,K19,C25,G25,K25,C28,G28,K28,C31,G31,K31,C34,G34,K34,C37,G37,K37,C22,G22,K22,C118,G118,K118,C40,G40,K40,K43,G43,C43,C46,G46,K46,C49,G49,K49,C52,G52,K52,K55,G55,C55,C58,G58,K58,K61,G61,C61,C64,G64,K64,K67,G67,C67,C70,G70,K70,K73,G73,C73,C76,G76,K76,C79,G79,K79,C82,G82,K85,G85,C85,C88,G88,K88,K91,G91,C91,C94,G94,K94,K97,G97,C97,C100,G100,K100,K103,G103,C103,C106,G106,K106,C109,G109,K109,K112,G112,C112,K115,G115,C115)</f>
        <v>1.2972972972972974</v>
      </c>
      <c r="F121" s="54"/>
      <c r="G121" s="54"/>
      <c r="H121" s="54"/>
      <c r="I121" s="55"/>
    </row>
    <row r="122" spans="1:13" ht="15.75" thickBot="1">
      <c r="D122" s="56"/>
      <c r="E122" s="57"/>
      <c r="F122" s="57"/>
      <c r="G122" s="57"/>
      <c r="H122" s="57"/>
      <c r="I122" s="58"/>
    </row>
  </sheetData>
  <sheetProtection algorithmName="SHA-512" hashValue="gbu9HMHb5yHX7g2nsA+NF1oc/gYZTwy/faz3uPBnA793u5qfWT7alDeGvGYAFY5GobtbXeAazfUUk2rR28QstQ==" saltValue="CRc5j+4KVphlYrvAUBK6YQ==" spinCount="100000" sheet="1" objects="1" scenarios="1" selectLockedCells="1"/>
  <mergeCells count="157">
    <mergeCell ref="A2:G2"/>
    <mergeCell ref="I2:L2"/>
    <mergeCell ref="A4:M4"/>
    <mergeCell ref="A5:M5"/>
    <mergeCell ref="A6:M6"/>
    <mergeCell ref="A7:A8"/>
    <mergeCell ref="D7:D8"/>
    <mergeCell ref="H7:H8"/>
    <mergeCell ref="L7:L8"/>
    <mergeCell ref="A15:A17"/>
    <mergeCell ref="D16:D17"/>
    <mergeCell ref="H16:H17"/>
    <mergeCell ref="L16:L17"/>
    <mergeCell ref="A18:A20"/>
    <mergeCell ref="D19:D20"/>
    <mergeCell ref="H19:H20"/>
    <mergeCell ref="L19:L20"/>
    <mergeCell ref="A9:A11"/>
    <mergeCell ref="D10:D11"/>
    <mergeCell ref="H10:H11"/>
    <mergeCell ref="L10:L11"/>
    <mergeCell ref="A12:A14"/>
    <mergeCell ref="D13:D14"/>
    <mergeCell ref="H13:H14"/>
    <mergeCell ref="L13:L14"/>
    <mergeCell ref="A27:A29"/>
    <mergeCell ref="D28:D29"/>
    <mergeCell ref="H28:H29"/>
    <mergeCell ref="L28:L29"/>
    <mergeCell ref="A30:A32"/>
    <mergeCell ref="D31:D32"/>
    <mergeCell ref="H31:H32"/>
    <mergeCell ref="L31:L32"/>
    <mergeCell ref="A21:A23"/>
    <mergeCell ref="D22:D23"/>
    <mergeCell ref="H22:H23"/>
    <mergeCell ref="L22:L23"/>
    <mergeCell ref="A24:A26"/>
    <mergeCell ref="D25:D26"/>
    <mergeCell ref="H25:H26"/>
    <mergeCell ref="L25:L26"/>
    <mergeCell ref="A39:A41"/>
    <mergeCell ref="D40:D41"/>
    <mergeCell ref="H40:H41"/>
    <mergeCell ref="L40:L41"/>
    <mergeCell ref="A42:A44"/>
    <mergeCell ref="A33:A35"/>
    <mergeCell ref="D34:D35"/>
    <mergeCell ref="H34:H35"/>
    <mergeCell ref="L34:L35"/>
    <mergeCell ref="A36:A38"/>
    <mergeCell ref="D37:D38"/>
    <mergeCell ref="H37:H38"/>
    <mergeCell ref="L37:L38"/>
    <mergeCell ref="D43:D44"/>
    <mergeCell ref="H43:H44"/>
    <mergeCell ref="L43:L44"/>
    <mergeCell ref="A45:A47"/>
    <mergeCell ref="D46:D47"/>
    <mergeCell ref="H46:H47"/>
    <mergeCell ref="L46:L47"/>
    <mergeCell ref="A117:A119"/>
    <mergeCell ref="D118:D119"/>
    <mergeCell ref="H118:H119"/>
    <mergeCell ref="L118:L119"/>
    <mergeCell ref="A54:A56"/>
    <mergeCell ref="D55:D56"/>
    <mergeCell ref="H55:H56"/>
    <mergeCell ref="L55:L56"/>
    <mergeCell ref="A57:A59"/>
    <mergeCell ref="D58:D59"/>
    <mergeCell ref="H58:H59"/>
    <mergeCell ref="L58:L59"/>
    <mergeCell ref="A69:A71"/>
    <mergeCell ref="D70:D71"/>
    <mergeCell ref="H70:H71"/>
    <mergeCell ref="L70:L71"/>
    <mergeCell ref="A78:A80"/>
    <mergeCell ref="D79:D80"/>
    <mergeCell ref="H79:H80"/>
    <mergeCell ref="L79:L80"/>
    <mergeCell ref="A48:A50"/>
    <mergeCell ref="D49:D50"/>
    <mergeCell ref="H49:H50"/>
    <mergeCell ref="L49:L50"/>
    <mergeCell ref="A51:A53"/>
    <mergeCell ref="D52:D53"/>
    <mergeCell ref="H52:H53"/>
    <mergeCell ref="L52:L53"/>
    <mergeCell ref="A66:A68"/>
    <mergeCell ref="D67:D68"/>
    <mergeCell ref="H67:H68"/>
    <mergeCell ref="L67:L68"/>
    <mergeCell ref="A60:A62"/>
    <mergeCell ref="D61:D62"/>
    <mergeCell ref="H61:H62"/>
    <mergeCell ref="L61:L62"/>
    <mergeCell ref="A63:A65"/>
    <mergeCell ref="D64:D65"/>
    <mergeCell ref="H64:H65"/>
    <mergeCell ref="L64:L65"/>
    <mergeCell ref="L73:L74"/>
    <mergeCell ref="A75:A77"/>
    <mergeCell ref="D76:D77"/>
    <mergeCell ref="H76:H77"/>
    <mergeCell ref="L76:L77"/>
    <mergeCell ref="A90:A92"/>
    <mergeCell ref="D91:D92"/>
    <mergeCell ref="H91:H92"/>
    <mergeCell ref="L91:L92"/>
    <mergeCell ref="A81:A83"/>
    <mergeCell ref="D82:D83"/>
    <mergeCell ref="H82:H83"/>
    <mergeCell ref="L82:L83"/>
    <mergeCell ref="A72:A74"/>
    <mergeCell ref="D73:D74"/>
    <mergeCell ref="H73:H74"/>
    <mergeCell ref="A93:A95"/>
    <mergeCell ref="D94:D95"/>
    <mergeCell ref="H94:H95"/>
    <mergeCell ref="L94:L95"/>
    <mergeCell ref="A84:A86"/>
    <mergeCell ref="D85:D86"/>
    <mergeCell ref="H85:H86"/>
    <mergeCell ref="L85:L86"/>
    <mergeCell ref="A87:A89"/>
    <mergeCell ref="D88:D89"/>
    <mergeCell ref="H88:H89"/>
    <mergeCell ref="L88:L89"/>
    <mergeCell ref="A102:A104"/>
    <mergeCell ref="D103:D104"/>
    <mergeCell ref="H103:H104"/>
    <mergeCell ref="L103:L104"/>
    <mergeCell ref="A105:A107"/>
    <mergeCell ref="D106:D107"/>
    <mergeCell ref="H106:H107"/>
    <mergeCell ref="L106:L107"/>
    <mergeCell ref="A96:A98"/>
    <mergeCell ref="D97:D98"/>
    <mergeCell ref="H97:H98"/>
    <mergeCell ref="L97:L98"/>
    <mergeCell ref="A99:A101"/>
    <mergeCell ref="D100:D101"/>
    <mergeCell ref="H100:H101"/>
    <mergeCell ref="L100:L101"/>
    <mergeCell ref="A114:A116"/>
    <mergeCell ref="D115:D116"/>
    <mergeCell ref="H115:H116"/>
    <mergeCell ref="L115:L116"/>
    <mergeCell ref="A108:A110"/>
    <mergeCell ref="D109:D110"/>
    <mergeCell ref="H109:H110"/>
    <mergeCell ref="L109:L110"/>
    <mergeCell ref="A111:A113"/>
    <mergeCell ref="D112:D113"/>
    <mergeCell ref="H112:H113"/>
    <mergeCell ref="L112:L113"/>
  </mergeCells>
  <conditionalFormatting sqref="C10">
    <cfRule type="colorScale" priority="118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13">
    <cfRule type="colorScale" priority="115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16">
    <cfRule type="colorScale" priority="112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19">
    <cfRule type="colorScale" priority="109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22">
    <cfRule type="colorScale" priority="106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25">
    <cfRule type="colorScale" priority="100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28">
    <cfRule type="colorScale" priority="97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31">
    <cfRule type="colorScale" priority="94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34">
    <cfRule type="colorScale" priority="91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37">
    <cfRule type="colorScale" priority="88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40">
    <cfRule type="colorScale" priority="84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43">
    <cfRule type="colorScale" priority="81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46">
    <cfRule type="colorScale" priority="78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49">
    <cfRule type="colorScale" priority="75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52">
    <cfRule type="colorScale" priority="72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55">
    <cfRule type="colorScale" priority="69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58">
    <cfRule type="colorScale" priority="66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61">
    <cfRule type="colorScale" priority="63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64">
    <cfRule type="colorScale" priority="60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67">
    <cfRule type="colorScale" priority="57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70">
    <cfRule type="colorScale" priority="54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73">
    <cfRule type="colorScale" priority="51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76">
    <cfRule type="colorScale" priority="48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79">
    <cfRule type="colorScale" priority="45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82">
    <cfRule type="colorScale" priority="42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85">
    <cfRule type="colorScale" priority="39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88">
    <cfRule type="colorScale" priority="36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91">
    <cfRule type="colorScale" priority="33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94">
    <cfRule type="colorScale" priority="30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97">
    <cfRule type="colorScale" priority="27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100">
    <cfRule type="colorScale" priority="24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103">
    <cfRule type="colorScale" priority="21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106">
    <cfRule type="colorScale" priority="18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109">
    <cfRule type="colorScale" priority="15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112">
    <cfRule type="colorScale" priority="12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115">
    <cfRule type="colorScale" priority="9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118">
    <cfRule type="colorScale" priority="103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E121">
    <cfRule type="colorScale" priority="85">
      <colorScale>
        <cfvo type="num" val="0"/>
        <cfvo type="num" val="1"/>
        <cfvo type="num" val="2"/>
        <color rgb="FFC00000"/>
        <color theme="7"/>
        <color theme="9"/>
      </colorScale>
    </cfRule>
  </conditionalFormatting>
  <conditionalFormatting sqref="G10">
    <cfRule type="colorScale" priority="117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13">
    <cfRule type="colorScale" priority="114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16">
    <cfRule type="colorScale" priority="111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19">
    <cfRule type="colorScale" priority="108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22">
    <cfRule type="colorScale" priority="105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25">
    <cfRule type="colorScale" priority="99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28">
    <cfRule type="colorScale" priority="96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31">
    <cfRule type="colorScale" priority="93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34">
    <cfRule type="colorScale" priority="90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37">
    <cfRule type="colorScale" priority="87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40">
    <cfRule type="colorScale" priority="83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43">
    <cfRule type="colorScale" priority="80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46">
    <cfRule type="colorScale" priority="77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49">
    <cfRule type="colorScale" priority="74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52">
    <cfRule type="colorScale" priority="71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55">
    <cfRule type="colorScale" priority="68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58">
    <cfRule type="colorScale" priority="65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61">
    <cfRule type="colorScale" priority="62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64">
    <cfRule type="colorScale" priority="59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67">
    <cfRule type="colorScale" priority="56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70">
    <cfRule type="colorScale" priority="53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73">
    <cfRule type="colorScale" priority="50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76">
    <cfRule type="colorScale" priority="47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79">
    <cfRule type="colorScale" priority="44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82">
    <cfRule type="colorScale" priority="41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85">
    <cfRule type="colorScale" priority="38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88">
    <cfRule type="colorScale" priority="35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91">
    <cfRule type="colorScale" priority="32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94">
    <cfRule type="colorScale" priority="29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97">
    <cfRule type="colorScale" priority="26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100">
    <cfRule type="colorScale" priority="23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103">
    <cfRule type="colorScale" priority="20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106">
    <cfRule type="colorScale" priority="17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109">
    <cfRule type="colorScale" priority="14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112">
    <cfRule type="colorScale" priority="11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115">
    <cfRule type="colorScale" priority="8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118">
    <cfRule type="colorScale" priority="102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10">
    <cfRule type="colorScale" priority="116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13">
    <cfRule type="colorScale" priority="113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16">
    <cfRule type="colorScale" priority="110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19">
    <cfRule type="colorScale" priority="107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22">
    <cfRule type="colorScale" priority="104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25">
    <cfRule type="colorScale" priority="98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28">
    <cfRule type="colorScale" priority="95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31">
    <cfRule type="colorScale" priority="92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34">
    <cfRule type="colorScale" priority="89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37">
    <cfRule type="colorScale" priority="86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40">
    <cfRule type="colorScale" priority="82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43">
    <cfRule type="colorScale" priority="79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46">
    <cfRule type="colorScale" priority="76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49">
    <cfRule type="colorScale" priority="73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52">
    <cfRule type="colorScale" priority="70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55">
    <cfRule type="colorScale" priority="67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58">
    <cfRule type="colorScale" priority="64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61">
    <cfRule type="colorScale" priority="61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64">
    <cfRule type="colorScale" priority="58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67">
    <cfRule type="colorScale" priority="55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70">
    <cfRule type="colorScale" priority="52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73">
    <cfRule type="colorScale" priority="49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76">
    <cfRule type="colorScale" priority="46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79">
    <cfRule type="colorScale" priority="43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82">
    <cfRule type="colorScale" priority="40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85">
    <cfRule type="colorScale" priority="37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88">
    <cfRule type="colorScale" priority="34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91">
    <cfRule type="colorScale" priority="31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94">
    <cfRule type="colorScale" priority="28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97">
    <cfRule type="colorScale" priority="25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100">
    <cfRule type="colorScale" priority="22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103">
    <cfRule type="colorScale" priority="19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106">
    <cfRule type="colorScale" priority="16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109">
    <cfRule type="colorScale" priority="13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112">
    <cfRule type="colorScale" priority="10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115">
    <cfRule type="colorScale" priority="7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118">
    <cfRule type="colorScale" priority="101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44"/>
  <sheetViews>
    <sheetView topLeftCell="A31" workbookViewId="0">
      <selection activeCell="Q35" sqref="Q35"/>
    </sheetView>
  </sheetViews>
  <sheetFormatPr baseColWidth="10" defaultColWidth="9.140625" defaultRowHeight="15"/>
  <cols>
    <col min="1" max="1" width="20.140625" style="1" customWidth="1"/>
    <col min="2" max="2" width="1" style="1" customWidth="1"/>
    <col min="3" max="3" width="3.7109375" style="1" customWidth="1"/>
    <col min="4" max="4" width="30.7109375" style="1" customWidth="1"/>
    <col min="5" max="5" width="5.42578125" style="1" customWidth="1"/>
    <col min="6" max="6" width="1" style="1" customWidth="1"/>
    <col min="7" max="7" width="3.7109375" style="1" customWidth="1"/>
    <col min="8" max="8" width="30.7109375" style="1" customWidth="1"/>
    <col min="9" max="9" width="3.7109375" style="1" customWidth="1"/>
    <col min="10" max="10" width="1" style="1" customWidth="1"/>
    <col min="11" max="11" width="3.7109375" style="1" customWidth="1"/>
    <col min="12" max="12" width="30.7109375" style="1" customWidth="1"/>
    <col min="13" max="13" width="3.7109375" style="1" customWidth="1"/>
    <col min="14" max="16384" width="9.140625" style="1"/>
  </cols>
  <sheetData>
    <row r="2" spans="1:13">
      <c r="A2" s="119" t="s">
        <v>644</v>
      </c>
      <c r="B2" s="119"/>
      <c r="C2" s="119"/>
      <c r="D2" s="119"/>
      <c r="E2" s="119"/>
      <c r="F2" s="119"/>
      <c r="G2" s="119"/>
      <c r="H2" s="1" t="s">
        <v>704</v>
      </c>
      <c r="I2" s="120" t="s">
        <v>645</v>
      </c>
      <c r="J2" s="120"/>
      <c r="K2" s="120"/>
      <c r="L2" s="120"/>
    </row>
    <row r="3" spans="1:13" ht="15.75" thickBot="1"/>
    <row r="4" spans="1:13" ht="18.75">
      <c r="A4" s="148" t="s">
        <v>0</v>
      </c>
      <c r="B4" s="149"/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50"/>
    </row>
    <row r="5" spans="1:13" ht="18.75">
      <c r="A5" s="151" t="s">
        <v>67</v>
      </c>
      <c r="B5" s="152"/>
      <c r="C5" s="152"/>
      <c r="D5" s="152"/>
      <c r="E5" s="152"/>
      <c r="F5" s="152"/>
      <c r="G5" s="152"/>
      <c r="H5" s="152"/>
      <c r="I5" s="152"/>
      <c r="J5" s="152"/>
      <c r="K5" s="152"/>
      <c r="L5" s="152"/>
      <c r="M5" s="153"/>
    </row>
    <row r="6" spans="1:13" ht="19.5" thickBot="1">
      <c r="A6" s="154" t="s">
        <v>68</v>
      </c>
      <c r="B6" s="155"/>
      <c r="C6" s="155"/>
      <c r="D6" s="155"/>
      <c r="E6" s="155"/>
      <c r="F6" s="155"/>
      <c r="G6" s="155"/>
      <c r="H6" s="155"/>
      <c r="I6" s="155"/>
      <c r="J6" s="155"/>
      <c r="K6" s="155"/>
      <c r="L6" s="155"/>
      <c r="M6" s="156"/>
    </row>
    <row r="7" spans="1:13" ht="12" customHeight="1" thickBot="1">
      <c r="A7" s="102" t="s">
        <v>3</v>
      </c>
      <c r="B7" s="37"/>
      <c r="C7" s="38"/>
      <c r="D7" s="104" t="s">
        <v>5</v>
      </c>
      <c r="E7" s="39">
        <v>0</v>
      </c>
      <c r="F7" s="40"/>
      <c r="G7" s="41"/>
      <c r="H7" s="106" t="s">
        <v>6</v>
      </c>
      <c r="I7" s="95">
        <v>1</v>
      </c>
      <c r="J7" s="40"/>
      <c r="K7" s="41"/>
      <c r="L7" s="104" t="s">
        <v>7</v>
      </c>
      <c r="M7" s="43">
        <v>2</v>
      </c>
    </row>
    <row r="8" spans="1:13" ht="16.5" thickBot="1">
      <c r="A8" s="103"/>
      <c r="B8" s="44"/>
      <c r="C8" s="45"/>
      <c r="D8" s="105"/>
      <c r="E8" s="46"/>
      <c r="F8" s="47"/>
      <c r="G8" s="48"/>
      <c r="H8" s="107"/>
      <c r="I8" s="48"/>
      <c r="J8" s="47"/>
      <c r="K8" s="48"/>
      <c r="L8" s="105"/>
      <c r="M8" s="49"/>
    </row>
    <row r="9" spans="1:13" ht="6" customHeight="1" thickBot="1">
      <c r="A9" s="98" t="s">
        <v>491</v>
      </c>
      <c r="B9" s="15"/>
      <c r="C9" s="16"/>
      <c r="D9" s="17"/>
      <c r="E9" s="18"/>
      <c r="F9" s="19"/>
      <c r="G9" s="20"/>
      <c r="H9" s="21"/>
      <c r="I9" s="20"/>
      <c r="J9" s="19"/>
      <c r="K9" s="20"/>
      <c r="L9" s="17"/>
      <c r="M9" s="22"/>
    </row>
    <row r="10" spans="1:13" ht="13.5" customHeight="1" thickBot="1">
      <c r="A10" s="96"/>
      <c r="B10" s="23"/>
      <c r="C10" s="24"/>
      <c r="D10" s="117" t="s">
        <v>604</v>
      </c>
      <c r="E10" s="25"/>
      <c r="F10" s="23"/>
      <c r="G10" s="24">
        <v>1</v>
      </c>
      <c r="H10" s="117" t="s">
        <v>605</v>
      </c>
      <c r="J10" s="23"/>
      <c r="K10" s="24"/>
      <c r="L10" s="117" t="s">
        <v>606</v>
      </c>
      <c r="M10" s="25"/>
    </row>
    <row r="11" spans="1:13" ht="50.25" customHeight="1" thickBot="1">
      <c r="A11" s="97"/>
      <c r="B11" s="26"/>
      <c r="C11" s="27"/>
      <c r="D11" s="118"/>
      <c r="E11" s="28"/>
      <c r="F11" s="26"/>
      <c r="G11" s="27"/>
      <c r="H11" s="118"/>
      <c r="I11" s="27"/>
      <c r="J11" s="26"/>
      <c r="K11" s="27"/>
      <c r="L11" s="118"/>
      <c r="M11" s="28"/>
    </row>
    <row r="12" spans="1:13" ht="6" customHeight="1" thickBot="1">
      <c r="A12" s="98" t="s">
        <v>501</v>
      </c>
      <c r="B12" s="29"/>
      <c r="C12" s="30"/>
      <c r="D12" s="31"/>
      <c r="E12" s="32"/>
      <c r="F12" s="33"/>
      <c r="G12" s="34"/>
      <c r="H12" s="35"/>
      <c r="I12" s="32"/>
      <c r="J12" s="33"/>
      <c r="K12" s="34"/>
      <c r="L12" s="31"/>
      <c r="M12" s="25"/>
    </row>
    <row r="13" spans="1:13" ht="15.75" thickBot="1">
      <c r="A13" s="96"/>
      <c r="B13" s="23"/>
      <c r="C13" s="24"/>
      <c r="D13" s="117" t="s">
        <v>592</v>
      </c>
      <c r="E13" s="25"/>
      <c r="F13" s="23"/>
      <c r="G13" s="24">
        <v>1</v>
      </c>
      <c r="H13" s="117" t="s">
        <v>593</v>
      </c>
      <c r="I13" s="25"/>
      <c r="J13" s="23"/>
      <c r="K13" s="24"/>
      <c r="L13" s="117" t="s">
        <v>594</v>
      </c>
      <c r="M13" s="25"/>
    </row>
    <row r="14" spans="1:13" ht="45" customHeight="1" thickBot="1">
      <c r="A14" s="97"/>
      <c r="B14" s="23"/>
      <c r="D14" s="117"/>
      <c r="E14" s="25"/>
      <c r="F14" s="23"/>
      <c r="H14" s="117"/>
      <c r="I14" s="25"/>
      <c r="J14" s="23"/>
      <c r="L14" s="117"/>
      <c r="M14" s="25"/>
    </row>
    <row r="15" spans="1:13" ht="6" customHeight="1" thickBot="1">
      <c r="A15" s="99" t="s">
        <v>492</v>
      </c>
      <c r="B15" s="15"/>
      <c r="C15" s="16"/>
      <c r="D15" s="17"/>
      <c r="E15" s="18"/>
      <c r="F15" s="19"/>
      <c r="G15" s="20"/>
      <c r="H15" s="21"/>
      <c r="I15" s="18"/>
      <c r="J15" s="19"/>
      <c r="K15" s="20"/>
      <c r="L15" s="17"/>
      <c r="M15" s="22"/>
    </row>
    <row r="16" spans="1:13" ht="15.75" thickBot="1">
      <c r="A16" s="100"/>
      <c r="B16" s="23"/>
      <c r="C16" s="24"/>
      <c r="D16" s="117" t="s">
        <v>591</v>
      </c>
      <c r="E16" s="25"/>
      <c r="F16" s="23"/>
      <c r="G16" s="24"/>
      <c r="H16" s="117" t="s">
        <v>590</v>
      </c>
      <c r="I16" s="25"/>
      <c r="J16" s="23"/>
      <c r="K16" s="24">
        <v>2</v>
      </c>
      <c r="L16" s="117" t="s">
        <v>589</v>
      </c>
      <c r="M16" s="25"/>
    </row>
    <row r="17" spans="1:13" ht="47.25" customHeight="1" thickBot="1">
      <c r="A17" s="101"/>
      <c r="B17" s="26"/>
      <c r="C17" s="27"/>
      <c r="D17" s="118"/>
      <c r="E17" s="28"/>
      <c r="F17" s="26"/>
      <c r="G17" s="27"/>
      <c r="H17" s="118"/>
      <c r="I17" s="28"/>
      <c r="J17" s="26"/>
      <c r="K17" s="27"/>
      <c r="L17" s="118"/>
      <c r="M17" s="28"/>
    </row>
    <row r="18" spans="1:13" ht="6" customHeight="1" thickBot="1">
      <c r="A18" s="99" t="s">
        <v>493</v>
      </c>
      <c r="B18" s="15"/>
      <c r="C18" s="16"/>
      <c r="D18" s="17"/>
      <c r="E18" s="18"/>
      <c r="F18" s="19"/>
      <c r="G18" s="20"/>
      <c r="H18" s="21"/>
      <c r="I18" s="18"/>
      <c r="J18" s="19"/>
      <c r="K18" s="20"/>
      <c r="L18" s="17"/>
      <c r="M18" s="22"/>
    </row>
    <row r="19" spans="1:13" ht="15.75" thickBot="1">
      <c r="A19" s="100"/>
      <c r="B19" s="23"/>
      <c r="C19" s="24"/>
      <c r="D19" s="117" t="s">
        <v>597</v>
      </c>
      <c r="E19" s="25"/>
      <c r="F19" s="23"/>
      <c r="G19" s="24"/>
      <c r="H19" s="117" t="s">
        <v>596</v>
      </c>
      <c r="I19" s="25"/>
      <c r="J19" s="23"/>
      <c r="K19" s="24">
        <v>2</v>
      </c>
      <c r="L19" s="117" t="s">
        <v>595</v>
      </c>
      <c r="M19" s="25"/>
    </row>
    <row r="20" spans="1:13" ht="48" customHeight="1" thickBot="1">
      <c r="A20" s="101"/>
      <c r="B20" s="26"/>
      <c r="C20" s="27"/>
      <c r="D20" s="118"/>
      <c r="E20" s="28"/>
      <c r="F20" s="26"/>
      <c r="G20" s="27"/>
      <c r="H20" s="118"/>
      <c r="I20" s="28"/>
      <c r="J20" s="26"/>
      <c r="K20" s="27"/>
      <c r="L20" s="118"/>
      <c r="M20" s="28"/>
    </row>
    <row r="21" spans="1:13" ht="6" customHeight="1" thickBot="1">
      <c r="A21" s="99" t="s">
        <v>494</v>
      </c>
      <c r="B21" s="15"/>
      <c r="C21" s="16"/>
      <c r="D21" s="17"/>
      <c r="E21" s="18"/>
      <c r="F21" s="19"/>
      <c r="G21" s="20"/>
      <c r="H21" s="21"/>
      <c r="I21" s="18"/>
      <c r="J21" s="19"/>
      <c r="K21" s="20"/>
      <c r="L21" s="17"/>
      <c r="M21" s="22"/>
    </row>
    <row r="22" spans="1:13" ht="15.75" customHeight="1" thickBot="1">
      <c r="A22" s="100"/>
      <c r="B22" s="23"/>
      <c r="C22" s="24"/>
      <c r="D22" s="117" t="s">
        <v>610</v>
      </c>
      <c r="E22" s="25"/>
      <c r="F22" s="23"/>
      <c r="G22" s="24"/>
      <c r="H22" s="117" t="s">
        <v>614</v>
      </c>
      <c r="I22" s="25"/>
      <c r="J22" s="23"/>
      <c r="K22" s="24">
        <v>2</v>
      </c>
      <c r="L22" s="117" t="s">
        <v>615</v>
      </c>
      <c r="M22" s="25"/>
    </row>
    <row r="23" spans="1:13" ht="49.5" customHeight="1" thickBot="1">
      <c r="A23" s="101"/>
      <c r="B23" s="26"/>
      <c r="C23" s="27"/>
      <c r="D23" s="118"/>
      <c r="E23" s="28"/>
      <c r="F23" s="26"/>
      <c r="G23" s="27"/>
      <c r="H23" s="118"/>
      <c r="I23" s="28"/>
      <c r="J23" s="26"/>
      <c r="K23" s="27"/>
      <c r="L23" s="118"/>
      <c r="M23" s="28"/>
    </row>
    <row r="24" spans="1:13" ht="6" customHeight="1" thickBot="1">
      <c r="A24" s="99" t="s">
        <v>495</v>
      </c>
      <c r="B24" s="15"/>
      <c r="C24" s="16"/>
      <c r="D24" s="17"/>
      <c r="E24" s="18"/>
      <c r="F24" s="19"/>
      <c r="G24" s="20"/>
      <c r="H24" s="21"/>
      <c r="I24" s="18"/>
      <c r="J24" s="19"/>
      <c r="K24" s="20"/>
      <c r="L24" s="17"/>
      <c r="M24" s="22"/>
    </row>
    <row r="25" spans="1:13" ht="15" customHeight="1" thickBot="1">
      <c r="A25" s="100"/>
      <c r="B25" s="23"/>
      <c r="C25" s="24">
        <v>0</v>
      </c>
      <c r="D25" s="117" t="s">
        <v>611</v>
      </c>
      <c r="E25" s="25"/>
      <c r="F25" s="23"/>
      <c r="G25" s="24"/>
      <c r="H25" s="117" t="s">
        <v>616</v>
      </c>
      <c r="I25" s="25"/>
      <c r="J25" s="23"/>
      <c r="K25" s="24"/>
      <c r="L25" s="117" t="s">
        <v>617</v>
      </c>
      <c r="M25" s="25"/>
    </row>
    <row r="26" spans="1:13" ht="39" customHeight="1" thickBot="1">
      <c r="A26" s="101"/>
      <c r="B26" s="26"/>
      <c r="C26" s="27"/>
      <c r="D26" s="118"/>
      <c r="E26" s="28"/>
      <c r="F26" s="26"/>
      <c r="G26" s="27"/>
      <c r="H26" s="118"/>
      <c r="I26" s="28"/>
      <c r="J26" s="26"/>
      <c r="K26" s="27"/>
      <c r="L26" s="118"/>
      <c r="M26" s="28"/>
    </row>
    <row r="27" spans="1:13" ht="6" customHeight="1" thickBot="1">
      <c r="A27" s="99" t="s">
        <v>496</v>
      </c>
      <c r="B27" s="15"/>
      <c r="C27" s="16"/>
      <c r="D27" s="17"/>
      <c r="E27" s="18"/>
      <c r="F27" s="19"/>
      <c r="G27" s="20"/>
      <c r="H27" s="21"/>
      <c r="I27" s="18"/>
      <c r="J27" s="19"/>
      <c r="K27" s="20"/>
      <c r="L27" s="17"/>
      <c r="M27" s="22"/>
    </row>
    <row r="28" spans="1:13" ht="15" customHeight="1" thickBot="1">
      <c r="A28" s="100"/>
      <c r="B28" s="23"/>
      <c r="C28" s="24">
        <v>0</v>
      </c>
      <c r="D28" s="117" t="s">
        <v>612</v>
      </c>
      <c r="E28" s="25"/>
      <c r="F28" s="23"/>
      <c r="G28" s="24"/>
      <c r="H28" s="117" t="s">
        <v>619</v>
      </c>
      <c r="I28" s="25"/>
      <c r="J28" s="23"/>
      <c r="K28" s="24"/>
      <c r="L28" s="117" t="s">
        <v>618</v>
      </c>
      <c r="M28" s="25"/>
    </row>
    <row r="29" spans="1:13" ht="49.5" customHeight="1" thickBot="1">
      <c r="A29" s="101"/>
      <c r="B29" s="26"/>
      <c r="C29" s="27"/>
      <c r="D29" s="118"/>
      <c r="E29" s="28"/>
      <c r="F29" s="26"/>
      <c r="G29" s="27"/>
      <c r="H29" s="118"/>
      <c r="I29" s="28"/>
      <c r="J29" s="26"/>
      <c r="K29" s="27"/>
      <c r="L29" s="118"/>
      <c r="M29" s="28"/>
    </row>
    <row r="30" spans="1:13" ht="6" customHeight="1" thickBot="1">
      <c r="A30" s="99" t="s">
        <v>497</v>
      </c>
      <c r="B30" s="15"/>
      <c r="C30" s="16"/>
      <c r="D30" s="17"/>
      <c r="E30" s="18"/>
      <c r="F30" s="19"/>
      <c r="G30" s="20"/>
      <c r="H30" s="21"/>
      <c r="I30" s="18"/>
      <c r="J30" s="19"/>
      <c r="K30" s="20"/>
      <c r="L30" s="17"/>
      <c r="M30" s="22"/>
    </row>
    <row r="31" spans="1:13" ht="15" customHeight="1" thickBot="1">
      <c r="A31" s="100"/>
      <c r="B31" s="23"/>
      <c r="C31" s="24">
        <v>0</v>
      </c>
      <c r="D31" s="117" t="s">
        <v>603</v>
      </c>
      <c r="E31" s="25"/>
      <c r="F31" s="23"/>
      <c r="G31" s="24"/>
      <c r="H31" s="117" t="s">
        <v>602</v>
      </c>
      <c r="I31" s="25"/>
      <c r="J31" s="23"/>
      <c r="K31" s="24"/>
      <c r="L31" s="117" t="s">
        <v>601</v>
      </c>
      <c r="M31" s="25"/>
    </row>
    <row r="32" spans="1:13" ht="49.5" customHeight="1" thickBot="1">
      <c r="A32" s="101"/>
      <c r="B32" s="26"/>
      <c r="C32" s="27"/>
      <c r="D32" s="118"/>
      <c r="E32" s="28"/>
      <c r="F32" s="26"/>
      <c r="G32" s="27"/>
      <c r="H32" s="118"/>
      <c r="I32" s="28"/>
      <c r="J32" s="26"/>
      <c r="K32" s="27"/>
      <c r="L32" s="118"/>
      <c r="M32" s="28"/>
    </row>
    <row r="33" spans="1:13" ht="6" customHeight="1" thickBot="1">
      <c r="A33" s="99" t="s">
        <v>498</v>
      </c>
      <c r="B33" s="15"/>
      <c r="C33" s="16"/>
      <c r="D33" s="17"/>
      <c r="E33" s="18"/>
      <c r="F33" s="19"/>
      <c r="G33" s="20"/>
      <c r="H33" s="21"/>
      <c r="I33" s="18"/>
      <c r="J33" s="19"/>
      <c r="K33" s="20"/>
      <c r="L33" s="17"/>
      <c r="M33" s="22"/>
    </row>
    <row r="34" spans="1:13" ht="15" customHeight="1" thickBot="1">
      <c r="A34" s="100"/>
      <c r="B34" s="23"/>
      <c r="C34" s="24">
        <v>0</v>
      </c>
      <c r="D34" s="117" t="s">
        <v>613</v>
      </c>
      <c r="E34" s="25"/>
      <c r="F34" s="23"/>
      <c r="G34" s="24"/>
      <c r="H34" s="117" t="s">
        <v>620</v>
      </c>
      <c r="I34" s="25"/>
      <c r="J34" s="23"/>
      <c r="K34" s="24"/>
      <c r="L34" s="117" t="s">
        <v>621</v>
      </c>
      <c r="M34" s="25"/>
    </row>
    <row r="35" spans="1:13" ht="63" customHeight="1" thickBot="1">
      <c r="A35" s="101"/>
      <c r="B35" s="26"/>
      <c r="C35" s="27"/>
      <c r="D35" s="118"/>
      <c r="E35" s="28"/>
      <c r="F35" s="26"/>
      <c r="G35" s="27"/>
      <c r="H35" s="118"/>
      <c r="I35" s="28"/>
      <c r="J35" s="26"/>
      <c r="K35" s="27"/>
      <c r="L35" s="118"/>
      <c r="M35" s="28"/>
    </row>
    <row r="36" spans="1:13" ht="6" customHeight="1" thickBot="1">
      <c r="A36" s="99" t="s">
        <v>499</v>
      </c>
      <c r="B36" s="15"/>
      <c r="C36" s="16"/>
      <c r="D36" s="17"/>
      <c r="E36" s="18"/>
      <c r="F36" s="19"/>
      <c r="G36" s="20"/>
      <c r="H36" s="21"/>
      <c r="I36" s="18"/>
      <c r="J36" s="19"/>
      <c r="K36" s="20"/>
      <c r="L36" s="17"/>
      <c r="M36" s="22"/>
    </row>
    <row r="37" spans="1:13" ht="15" customHeight="1" thickBot="1">
      <c r="A37" s="100"/>
      <c r="B37" s="23"/>
      <c r="C37" s="24">
        <v>0</v>
      </c>
      <c r="D37" s="117" t="s">
        <v>609</v>
      </c>
      <c r="E37" s="25"/>
      <c r="F37" s="23"/>
      <c r="G37" s="24"/>
      <c r="H37" s="117" t="s">
        <v>608</v>
      </c>
      <c r="I37" s="25"/>
      <c r="J37" s="23"/>
      <c r="K37" s="24"/>
      <c r="L37" s="117" t="s">
        <v>607</v>
      </c>
      <c r="M37" s="25"/>
    </row>
    <row r="38" spans="1:13" ht="63" customHeight="1" thickBot="1">
      <c r="A38" s="101"/>
      <c r="B38" s="26"/>
      <c r="C38" s="27"/>
      <c r="D38" s="118"/>
      <c r="E38" s="28"/>
      <c r="F38" s="26"/>
      <c r="G38" s="27"/>
      <c r="H38" s="118"/>
      <c r="I38" s="28"/>
      <c r="J38" s="26"/>
      <c r="K38" s="27"/>
      <c r="L38" s="118"/>
      <c r="M38" s="28"/>
    </row>
    <row r="39" spans="1:13" ht="6" customHeight="1" thickBot="1">
      <c r="A39" s="99" t="s">
        <v>502</v>
      </c>
      <c r="B39" s="15"/>
      <c r="C39" s="16"/>
      <c r="D39" s="17"/>
      <c r="E39" s="18"/>
      <c r="F39" s="19"/>
      <c r="G39" s="20"/>
      <c r="H39" s="21"/>
      <c r="I39" s="18"/>
      <c r="J39" s="19"/>
      <c r="K39" s="20"/>
      <c r="L39" s="17"/>
      <c r="M39" s="22"/>
    </row>
    <row r="40" spans="1:13" ht="15" customHeight="1" thickBot="1">
      <c r="A40" s="100"/>
      <c r="B40" s="23"/>
      <c r="C40" s="24"/>
      <c r="D40" s="117" t="s">
        <v>598</v>
      </c>
      <c r="E40" s="25"/>
      <c r="F40" s="23"/>
      <c r="G40" s="24">
        <v>1</v>
      </c>
      <c r="H40" s="117" t="s">
        <v>600</v>
      </c>
      <c r="I40" s="25"/>
      <c r="J40" s="23"/>
      <c r="K40" s="24"/>
      <c r="L40" s="117" t="s">
        <v>599</v>
      </c>
      <c r="M40" s="25"/>
    </row>
    <row r="41" spans="1:13" ht="49.5" customHeight="1" thickBot="1">
      <c r="A41" s="101"/>
      <c r="B41" s="26"/>
      <c r="C41" s="27"/>
      <c r="D41" s="118"/>
      <c r="E41" s="28"/>
      <c r="F41" s="26"/>
      <c r="G41" s="27"/>
      <c r="H41" s="118"/>
      <c r="I41" s="28"/>
      <c r="J41" s="26"/>
      <c r="K41" s="27"/>
      <c r="L41" s="118"/>
      <c r="M41" s="28"/>
    </row>
    <row r="42" spans="1:13" ht="15.75" thickBot="1">
      <c r="D42" s="50"/>
      <c r="E42" s="51"/>
      <c r="F42" s="51"/>
      <c r="G42" s="51"/>
      <c r="H42" s="51"/>
      <c r="I42" s="52"/>
    </row>
    <row r="43" spans="1:13" ht="15.75" thickBot="1">
      <c r="D43" s="53" t="s">
        <v>676</v>
      </c>
      <c r="E43" s="59">
        <f>AVERAGE(C10,G10,K10,C13,G13,K13,C16,G16,K16,C22,G22,K22,C25,G25,K25,C28,G28,K28,C31,G31,K31,C34,G34,K34,C19,G19,K19,C37,G37,K37,C40,G40,K40)</f>
        <v>0.81818181818181823</v>
      </c>
      <c r="F43" s="54"/>
      <c r="G43" s="54"/>
      <c r="H43" s="54"/>
      <c r="I43" s="55"/>
    </row>
    <row r="44" spans="1:13" ht="15.75" thickBot="1">
      <c r="D44" s="56"/>
      <c r="E44" s="57"/>
      <c r="F44" s="57"/>
      <c r="G44" s="57"/>
      <c r="H44" s="57"/>
      <c r="I44" s="58"/>
    </row>
  </sheetData>
  <sheetProtection algorithmName="SHA-512" hashValue="CH8NLOFWOXP+1pN9VpWgYupLO57FLA1/m6Ynx6V43dDWd83NOhfps1uqGYklszgb0Z4uCaZB1lddmzVIqBG9/g==" saltValue="oXFG/O2gO4dQESG7tJ46zw==" spinCount="100000" sheet="1" objects="1" scenarios="1" selectLockedCells="1"/>
  <mergeCells count="53">
    <mergeCell ref="A2:G2"/>
    <mergeCell ref="I2:L2"/>
    <mergeCell ref="A4:M4"/>
    <mergeCell ref="A5:M5"/>
    <mergeCell ref="A6:M6"/>
    <mergeCell ref="A7:A8"/>
    <mergeCell ref="D7:D8"/>
    <mergeCell ref="H7:H8"/>
    <mergeCell ref="L7:L8"/>
    <mergeCell ref="A9:A11"/>
    <mergeCell ref="D10:D11"/>
    <mergeCell ref="H10:H11"/>
    <mergeCell ref="L10:L11"/>
    <mergeCell ref="A12:A14"/>
    <mergeCell ref="D13:D14"/>
    <mergeCell ref="H13:H14"/>
    <mergeCell ref="L13:L14"/>
    <mergeCell ref="A15:A17"/>
    <mergeCell ref="D16:D17"/>
    <mergeCell ref="H16:H17"/>
    <mergeCell ref="L16:L17"/>
    <mergeCell ref="A18:A20"/>
    <mergeCell ref="D19:D20"/>
    <mergeCell ref="H19:H20"/>
    <mergeCell ref="L19:L20"/>
    <mergeCell ref="A21:A23"/>
    <mergeCell ref="D22:D23"/>
    <mergeCell ref="H22:H23"/>
    <mergeCell ref="L22:L23"/>
    <mergeCell ref="A24:A26"/>
    <mergeCell ref="D25:D26"/>
    <mergeCell ref="H25:H26"/>
    <mergeCell ref="L25:L26"/>
    <mergeCell ref="A27:A29"/>
    <mergeCell ref="D28:D29"/>
    <mergeCell ref="H28:H29"/>
    <mergeCell ref="L28:L29"/>
    <mergeCell ref="A30:A32"/>
    <mergeCell ref="D31:D32"/>
    <mergeCell ref="H31:H32"/>
    <mergeCell ref="L31:L32"/>
    <mergeCell ref="A33:A35"/>
    <mergeCell ref="D34:D35"/>
    <mergeCell ref="H34:H35"/>
    <mergeCell ref="L34:L35"/>
    <mergeCell ref="A36:A38"/>
    <mergeCell ref="D37:D38"/>
    <mergeCell ref="H37:H38"/>
    <mergeCell ref="L37:L38"/>
    <mergeCell ref="A39:A41"/>
    <mergeCell ref="D40:D41"/>
    <mergeCell ref="H40:H41"/>
    <mergeCell ref="L40:L41"/>
  </mergeCells>
  <conditionalFormatting sqref="C10">
    <cfRule type="colorScale" priority="44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13">
    <cfRule type="colorScale" priority="41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16">
    <cfRule type="colorScale" priority="38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19">
    <cfRule type="colorScale" priority="32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22">
    <cfRule type="colorScale" priority="26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25">
    <cfRule type="colorScale" priority="23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28">
    <cfRule type="colorScale" priority="20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31">
    <cfRule type="colorScale" priority="4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34">
    <cfRule type="colorScale" priority="14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37">
    <cfRule type="colorScale" priority="10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40">
    <cfRule type="colorScale" priority="7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E43">
    <cfRule type="colorScale" priority="1">
      <colorScale>
        <cfvo type="num" val="0"/>
        <cfvo type="num" val="1"/>
        <cfvo type="num" val="2"/>
        <color rgb="FFC00000"/>
        <color theme="7"/>
        <color theme="9"/>
      </colorScale>
    </cfRule>
  </conditionalFormatting>
  <conditionalFormatting sqref="G10">
    <cfRule type="colorScale" priority="43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13">
    <cfRule type="colorScale" priority="40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16">
    <cfRule type="colorScale" priority="37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19">
    <cfRule type="colorScale" priority="31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22">
    <cfRule type="colorScale" priority="25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25">
    <cfRule type="colorScale" priority="22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28">
    <cfRule type="colorScale" priority="19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31">
    <cfRule type="colorScale" priority="3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34">
    <cfRule type="colorScale" priority="13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37">
    <cfRule type="colorScale" priority="9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40">
    <cfRule type="colorScale" priority="6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10">
    <cfRule type="colorScale" priority="42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13">
    <cfRule type="colorScale" priority="39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16">
    <cfRule type="colorScale" priority="36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19">
    <cfRule type="colorScale" priority="30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22">
    <cfRule type="colorScale" priority="24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25">
    <cfRule type="colorScale" priority="21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28">
    <cfRule type="colorScale" priority="18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31">
    <cfRule type="colorScale" priority="2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34">
    <cfRule type="colorScale" priority="12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37">
    <cfRule type="colorScale" priority="8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40">
    <cfRule type="colorScale" priority="5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6"/>
  <sheetViews>
    <sheetView topLeftCell="A13" workbookViewId="0">
      <selection activeCell="H29" sqref="H29"/>
    </sheetView>
  </sheetViews>
  <sheetFormatPr baseColWidth="10" defaultColWidth="9.140625" defaultRowHeight="15"/>
  <cols>
    <col min="1" max="1" width="20.140625" style="1" customWidth="1"/>
    <col min="2" max="2" width="1" style="1" customWidth="1"/>
    <col min="3" max="3" width="3.7109375" style="1" customWidth="1"/>
    <col min="4" max="4" width="30.7109375" style="1" customWidth="1"/>
    <col min="5" max="5" width="3.7109375" style="1" customWidth="1"/>
    <col min="6" max="6" width="1" style="1" customWidth="1"/>
    <col min="7" max="7" width="3.7109375" style="1" customWidth="1"/>
    <col min="8" max="8" width="30.7109375" style="1" customWidth="1"/>
    <col min="9" max="9" width="3.7109375" style="1" customWidth="1"/>
    <col min="10" max="10" width="1" style="1" customWidth="1"/>
    <col min="11" max="11" width="3.7109375" style="1" customWidth="1"/>
    <col min="12" max="12" width="30.7109375" style="1" customWidth="1"/>
    <col min="13" max="13" width="3.7109375" style="1" customWidth="1"/>
    <col min="14" max="16384" width="9.140625" style="1"/>
  </cols>
  <sheetData>
    <row r="2" spans="1:13">
      <c r="A2" s="119" t="s">
        <v>644</v>
      </c>
      <c r="B2" s="119"/>
      <c r="C2" s="119"/>
      <c r="D2" s="119"/>
      <c r="E2" s="119"/>
      <c r="F2" s="119"/>
      <c r="G2" s="119"/>
      <c r="H2" s="1" t="s">
        <v>704</v>
      </c>
      <c r="I2" s="120" t="s">
        <v>645</v>
      </c>
      <c r="J2" s="120"/>
      <c r="K2" s="120"/>
      <c r="L2" s="120"/>
    </row>
    <row r="3" spans="1:13" ht="15.75" thickBot="1"/>
    <row r="4" spans="1:13" ht="18.75">
      <c r="A4" s="157" t="s">
        <v>0</v>
      </c>
      <c r="B4" s="158"/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9"/>
    </row>
    <row r="5" spans="1:13" ht="18.75">
      <c r="A5" s="160" t="s">
        <v>69</v>
      </c>
      <c r="B5" s="161"/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2"/>
    </row>
    <row r="6" spans="1:13" ht="19.5" thickBot="1">
      <c r="A6" s="163" t="s">
        <v>70</v>
      </c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  <c r="M6" s="165"/>
    </row>
    <row r="7" spans="1:13" ht="12" customHeight="1" thickBot="1">
      <c r="A7" s="102" t="s">
        <v>3</v>
      </c>
      <c r="B7" s="37"/>
      <c r="C7" s="38"/>
      <c r="D7" s="104" t="s">
        <v>5</v>
      </c>
      <c r="E7" s="39">
        <v>0</v>
      </c>
      <c r="F7" s="40"/>
      <c r="G7" s="41"/>
      <c r="H7" s="106" t="s">
        <v>6</v>
      </c>
      <c r="I7" s="95">
        <v>1</v>
      </c>
      <c r="J7" s="40"/>
      <c r="K7" s="41"/>
      <c r="L7" s="104" t="s">
        <v>7</v>
      </c>
      <c r="M7" s="43">
        <v>2</v>
      </c>
    </row>
    <row r="8" spans="1:13" ht="16.5" thickBot="1">
      <c r="A8" s="103"/>
      <c r="B8" s="44"/>
      <c r="C8" s="45"/>
      <c r="D8" s="105"/>
      <c r="E8" s="46"/>
      <c r="F8" s="47"/>
      <c r="G8" s="48"/>
      <c r="H8" s="107"/>
      <c r="I8" s="48"/>
      <c r="J8" s="47"/>
      <c r="K8" s="48"/>
      <c r="L8" s="105"/>
      <c r="M8" s="49"/>
    </row>
    <row r="9" spans="1:13" ht="6" customHeight="1" thickBot="1">
      <c r="A9" s="99" t="s">
        <v>503</v>
      </c>
      <c r="B9" s="15"/>
      <c r="C9" s="16"/>
      <c r="D9" s="17"/>
      <c r="E9" s="18"/>
      <c r="F9" s="19"/>
      <c r="G9" s="20"/>
      <c r="H9" s="21"/>
      <c r="I9" s="18"/>
      <c r="J9" s="19"/>
      <c r="K9" s="20"/>
      <c r="L9" s="17"/>
      <c r="M9" s="22"/>
    </row>
    <row r="10" spans="1:13" ht="15.75" thickBot="1">
      <c r="A10" s="100"/>
      <c r="B10" s="23"/>
      <c r="C10" s="24"/>
      <c r="D10" s="117" t="s">
        <v>580</v>
      </c>
      <c r="E10" s="25"/>
      <c r="F10" s="23"/>
      <c r="G10" s="24">
        <v>1</v>
      </c>
      <c r="H10" s="117" t="s">
        <v>584</v>
      </c>
      <c r="I10" s="25"/>
      <c r="J10" s="23"/>
      <c r="K10" s="24"/>
      <c r="L10" s="117" t="s">
        <v>585</v>
      </c>
      <c r="M10" s="25"/>
    </row>
    <row r="11" spans="1:13" ht="44.25" customHeight="1" thickBot="1">
      <c r="A11" s="101"/>
      <c r="B11" s="26"/>
      <c r="C11" s="27"/>
      <c r="D11" s="118"/>
      <c r="E11" s="28"/>
      <c r="F11" s="26"/>
      <c r="G11" s="27"/>
      <c r="H11" s="118"/>
      <c r="I11" s="28"/>
      <c r="J11" s="26"/>
      <c r="K11" s="27"/>
      <c r="L11" s="118"/>
      <c r="M11" s="28"/>
    </row>
    <row r="12" spans="1:13" ht="6" customHeight="1" thickBot="1">
      <c r="A12" s="99" t="s">
        <v>505</v>
      </c>
      <c r="B12" s="15"/>
      <c r="C12" s="16"/>
      <c r="D12" s="17"/>
      <c r="E12" s="18"/>
      <c r="F12" s="19"/>
      <c r="G12" s="20"/>
      <c r="H12" s="21"/>
      <c r="I12" s="18"/>
      <c r="J12" s="19"/>
      <c r="K12" s="20"/>
      <c r="L12" s="17"/>
      <c r="M12" s="22"/>
    </row>
    <row r="13" spans="1:13" ht="15" customHeight="1" thickBot="1">
      <c r="A13" s="100"/>
      <c r="B13" s="23"/>
      <c r="C13" s="24"/>
      <c r="D13" s="117" t="s">
        <v>581</v>
      </c>
      <c r="E13" s="25"/>
      <c r="F13" s="23"/>
      <c r="G13" s="24"/>
      <c r="H13" s="117" t="s">
        <v>584</v>
      </c>
      <c r="I13" s="25"/>
      <c r="J13" s="23"/>
      <c r="K13" s="24">
        <v>2</v>
      </c>
      <c r="L13" s="117" t="s">
        <v>586</v>
      </c>
      <c r="M13" s="25"/>
    </row>
    <row r="14" spans="1:13" ht="48" customHeight="1" thickBot="1">
      <c r="A14" s="101"/>
      <c r="B14" s="26"/>
      <c r="C14" s="27"/>
      <c r="D14" s="118"/>
      <c r="E14" s="28"/>
      <c r="F14" s="26"/>
      <c r="G14" s="27"/>
      <c r="H14" s="118"/>
      <c r="I14" s="28"/>
      <c r="J14" s="26"/>
      <c r="K14" s="27"/>
      <c r="L14" s="118"/>
      <c r="M14" s="28"/>
    </row>
    <row r="15" spans="1:13" ht="6" customHeight="1" thickBot="1">
      <c r="A15" s="99" t="s">
        <v>504</v>
      </c>
      <c r="B15" s="15"/>
      <c r="C15" s="16"/>
      <c r="D15" s="17"/>
      <c r="E15" s="18"/>
      <c r="F15" s="19"/>
      <c r="G15" s="20"/>
      <c r="H15" s="21"/>
      <c r="I15" s="18"/>
      <c r="J15" s="19"/>
      <c r="K15" s="20"/>
      <c r="L15" s="17"/>
      <c r="M15" s="22"/>
    </row>
    <row r="16" spans="1:13" ht="15.75" thickBot="1">
      <c r="A16" s="100"/>
      <c r="B16" s="23"/>
      <c r="C16" s="24"/>
      <c r="D16" s="117" t="s">
        <v>582</v>
      </c>
      <c r="E16" s="25"/>
      <c r="F16" s="23"/>
      <c r="G16" s="24">
        <v>1</v>
      </c>
      <c r="H16" s="117" t="s">
        <v>584</v>
      </c>
      <c r="I16" s="25"/>
      <c r="J16" s="23"/>
      <c r="K16" s="24"/>
      <c r="L16" s="117" t="s">
        <v>587</v>
      </c>
      <c r="M16" s="25"/>
    </row>
    <row r="17" spans="1:13" ht="48" customHeight="1" thickBot="1">
      <c r="A17" s="101"/>
      <c r="B17" s="26"/>
      <c r="C17" s="27"/>
      <c r="D17" s="118"/>
      <c r="E17" s="28"/>
      <c r="F17" s="26"/>
      <c r="G17" s="27"/>
      <c r="H17" s="118"/>
      <c r="I17" s="28"/>
      <c r="J17" s="26"/>
      <c r="K17" s="27"/>
      <c r="L17" s="118"/>
      <c r="M17" s="28"/>
    </row>
    <row r="18" spans="1:13" ht="6" customHeight="1" thickBot="1">
      <c r="A18" s="99" t="s">
        <v>506</v>
      </c>
      <c r="B18" s="15"/>
      <c r="C18" s="16"/>
      <c r="D18" s="17"/>
      <c r="E18" s="18"/>
      <c r="F18" s="19"/>
      <c r="G18" s="20"/>
      <c r="H18" s="21"/>
      <c r="I18" s="18"/>
      <c r="J18" s="19"/>
      <c r="K18" s="20"/>
      <c r="L18" s="17"/>
      <c r="M18" s="22"/>
    </row>
    <row r="19" spans="1:13" ht="15" customHeight="1" thickBot="1">
      <c r="A19" s="100"/>
      <c r="B19" s="23"/>
      <c r="C19" s="24"/>
      <c r="D19" s="117" t="s">
        <v>583</v>
      </c>
      <c r="E19" s="25"/>
      <c r="F19" s="23"/>
      <c r="G19" s="24">
        <v>1</v>
      </c>
      <c r="H19" s="117" t="s">
        <v>584</v>
      </c>
      <c r="I19" s="25"/>
      <c r="J19" s="23"/>
      <c r="K19" s="24"/>
      <c r="L19" s="117" t="s">
        <v>588</v>
      </c>
      <c r="M19" s="25"/>
    </row>
    <row r="20" spans="1:13" ht="48" customHeight="1" thickBot="1">
      <c r="A20" s="101"/>
      <c r="B20" s="26"/>
      <c r="C20" s="27"/>
      <c r="D20" s="118"/>
      <c r="E20" s="28"/>
      <c r="F20" s="26"/>
      <c r="G20" s="27"/>
      <c r="H20" s="118"/>
      <c r="I20" s="28"/>
      <c r="J20" s="26"/>
      <c r="K20" s="27"/>
      <c r="L20" s="118"/>
      <c r="M20" s="28"/>
    </row>
    <row r="21" spans="1:13" ht="6" customHeight="1" thickBot="1">
      <c r="A21" s="99" t="s">
        <v>507</v>
      </c>
      <c r="B21" s="15"/>
      <c r="C21" s="16"/>
      <c r="D21" s="17"/>
      <c r="E21" s="18"/>
      <c r="F21" s="19"/>
      <c r="G21" s="20"/>
      <c r="H21" s="21"/>
      <c r="I21" s="18"/>
      <c r="J21" s="19"/>
      <c r="K21" s="20"/>
      <c r="L21" s="17"/>
      <c r="M21" s="22"/>
    </row>
    <row r="22" spans="1:13" ht="15.75" customHeight="1" thickBot="1">
      <c r="A22" s="100"/>
      <c r="B22" s="23"/>
      <c r="C22" s="24"/>
      <c r="D22" s="117" t="s">
        <v>548</v>
      </c>
      <c r="E22" s="25"/>
      <c r="F22" s="23"/>
      <c r="G22" s="24">
        <v>1</v>
      </c>
      <c r="H22" s="117" t="s">
        <v>550</v>
      </c>
      <c r="I22" s="25"/>
      <c r="J22" s="23"/>
      <c r="K22" s="24"/>
      <c r="L22" s="117" t="s">
        <v>549</v>
      </c>
      <c r="M22" s="25"/>
    </row>
    <row r="23" spans="1:13" ht="49.5" customHeight="1" thickBot="1">
      <c r="A23" s="101"/>
      <c r="B23" s="26"/>
      <c r="C23" s="27"/>
      <c r="D23" s="118"/>
      <c r="E23" s="28"/>
      <c r="F23" s="26"/>
      <c r="G23" s="27"/>
      <c r="H23" s="118"/>
      <c r="I23" s="28"/>
      <c r="J23" s="26"/>
      <c r="K23" s="27"/>
      <c r="L23" s="118"/>
      <c r="M23" s="28"/>
    </row>
    <row r="24" spans="1:13" ht="15.75" thickBot="1">
      <c r="D24" s="50"/>
      <c r="E24" s="51"/>
      <c r="F24" s="51"/>
      <c r="G24" s="51"/>
      <c r="H24" s="51"/>
      <c r="I24" s="52"/>
    </row>
    <row r="25" spans="1:13" ht="15.75" thickBot="1">
      <c r="D25" s="53" t="s">
        <v>677</v>
      </c>
      <c r="E25" s="59">
        <f>AVERAGE(C10,G10,K10,C13,G13,K13,C22,G22,K22,C16,G16,K16)</f>
        <v>1.25</v>
      </c>
      <c r="F25" s="54"/>
      <c r="G25" s="54"/>
      <c r="H25" s="54"/>
      <c r="I25" s="55"/>
    </row>
    <row r="26" spans="1:13" ht="15.75" thickBot="1">
      <c r="D26" s="56"/>
      <c r="E26" s="57"/>
      <c r="F26" s="57"/>
      <c r="G26" s="57"/>
      <c r="H26" s="57"/>
      <c r="I26" s="58"/>
    </row>
  </sheetData>
  <sheetProtection selectLockedCells="1"/>
  <mergeCells count="29">
    <mergeCell ref="A2:G2"/>
    <mergeCell ref="I2:L2"/>
    <mergeCell ref="A4:M4"/>
    <mergeCell ref="A5:M5"/>
    <mergeCell ref="A6:M6"/>
    <mergeCell ref="A7:A8"/>
    <mergeCell ref="D7:D8"/>
    <mergeCell ref="H7:H8"/>
    <mergeCell ref="L7:L8"/>
    <mergeCell ref="H13:H14"/>
    <mergeCell ref="L13:L14"/>
    <mergeCell ref="A9:A11"/>
    <mergeCell ref="D10:D11"/>
    <mergeCell ref="H10:H11"/>
    <mergeCell ref="L10:L11"/>
    <mergeCell ref="A12:A14"/>
    <mergeCell ref="D13:D14"/>
    <mergeCell ref="A15:A17"/>
    <mergeCell ref="D16:D17"/>
    <mergeCell ref="H16:H17"/>
    <mergeCell ref="L16:L17"/>
    <mergeCell ref="A21:A23"/>
    <mergeCell ref="D22:D23"/>
    <mergeCell ref="H22:H23"/>
    <mergeCell ref="L22:L23"/>
    <mergeCell ref="A18:A20"/>
    <mergeCell ref="D19:D20"/>
    <mergeCell ref="H19:H20"/>
    <mergeCell ref="L19:L20"/>
  </mergeCells>
  <conditionalFormatting sqref="C10">
    <cfRule type="colorScale" priority="31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13">
    <cfRule type="colorScale" priority="28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16">
    <cfRule type="colorScale" priority="25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19">
    <cfRule type="colorScale" priority="3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22">
    <cfRule type="colorScale" priority="19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E25">
    <cfRule type="colorScale" priority="4">
      <colorScale>
        <cfvo type="num" val="0"/>
        <cfvo type="num" val="1"/>
        <cfvo type="num" val="2"/>
        <color rgb="FFC00000"/>
        <color theme="7"/>
        <color theme="9"/>
      </colorScale>
    </cfRule>
  </conditionalFormatting>
  <conditionalFormatting sqref="G10">
    <cfRule type="colorScale" priority="30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13">
    <cfRule type="colorScale" priority="27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16">
    <cfRule type="colorScale" priority="24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19">
    <cfRule type="colorScale" priority="2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22">
    <cfRule type="colorScale" priority="18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10">
    <cfRule type="colorScale" priority="29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13">
    <cfRule type="colorScale" priority="26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16">
    <cfRule type="colorScale" priority="23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19">
    <cfRule type="colorScale" priority="1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22">
    <cfRule type="colorScale" priority="17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41"/>
  <sheetViews>
    <sheetView workbookViewId="0">
      <selection activeCell="P37" sqref="P37"/>
    </sheetView>
  </sheetViews>
  <sheetFormatPr baseColWidth="10" defaultColWidth="9.140625" defaultRowHeight="15"/>
  <cols>
    <col min="1" max="1" width="20.140625" style="1" customWidth="1"/>
    <col min="2" max="2" width="1" style="1" customWidth="1"/>
    <col min="3" max="3" width="3.7109375" style="1" customWidth="1"/>
    <col min="4" max="4" width="30.7109375" style="1" customWidth="1"/>
    <col min="5" max="5" width="3.7109375" style="1" customWidth="1"/>
    <col min="6" max="6" width="1" style="1" customWidth="1"/>
    <col min="7" max="7" width="3.7109375" style="1" customWidth="1"/>
    <col min="8" max="8" width="30.7109375" style="1" customWidth="1"/>
    <col min="9" max="9" width="3.7109375" style="1" customWidth="1"/>
    <col min="10" max="10" width="1" style="1" customWidth="1"/>
    <col min="11" max="11" width="3.7109375" style="1" customWidth="1"/>
    <col min="12" max="12" width="30.7109375" style="1" customWidth="1"/>
    <col min="13" max="13" width="3.7109375" style="1" customWidth="1"/>
    <col min="14" max="16384" width="9.140625" style="1"/>
  </cols>
  <sheetData>
    <row r="2" spans="1:13">
      <c r="A2" s="119" t="s">
        <v>644</v>
      </c>
      <c r="B2" s="119"/>
      <c r="C2" s="119"/>
      <c r="D2" s="119"/>
      <c r="E2" s="119"/>
      <c r="F2" s="119"/>
      <c r="G2" s="119"/>
      <c r="H2" s="1" t="s">
        <v>704</v>
      </c>
      <c r="I2" s="120" t="s">
        <v>645</v>
      </c>
      <c r="J2" s="120"/>
      <c r="K2" s="120"/>
      <c r="L2" s="120"/>
    </row>
    <row r="3" spans="1:13" ht="15.75" thickBot="1"/>
    <row r="4" spans="1:13" ht="18.75">
      <c r="A4" s="157" t="s">
        <v>0</v>
      </c>
      <c r="B4" s="158"/>
      <c r="C4" s="158"/>
      <c r="D4" s="158"/>
      <c r="E4" s="158"/>
      <c r="F4" s="158"/>
      <c r="G4" s="158"/>
      <c r="H4" s="158"/>
      <c r="I4" s="158"/>
      <c r="J4" s="158"/>
      <c r="K4" s="158"/>
      <c r="L4" s="158"/>
      <c r="M4" s="159"/>
    </row>
    <row r="5" spans="1:13" ht="18.75">
      <c r="A5" s="160" t="s">
        <v>69</v>
      </c>
      <c r="B5" s="161"/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2"/>
    </row>
    <row r="6" spans="1:13" ht="19.5" thickBot="1">
      <c r="A6" s="163" t="s">
        <v>71</v>
      </c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  <c r="M6" s="165"/>
    </row>
    <row r="7" spans="1:13" ht="12" customHeight="1" thickBot="1">
      <c r="A7" s="102" t="s">
        <v>3</v>
      </c>
      <c r="B7" s="37"/>
      <c r="C7" s="38"/>
      <c r="D7" s="104" t="s">
        <v>5</v>
      </c>
      <c r="E7" s="39">
        <v>0</v>
      </c>
      <c r="F7" s="40"/>
      <c r="G7" s="41"/>
      <c r="H7" s="106" t="s">
        <v>6</v>
      </c>
      <c r="I7" s="95">
        <v>1</v>
      </c>
      <c r="J7" s="40"/>
      <c r="K7" s="41"/>
      <c r="L7" s="104" t="s">
        <v>7</v>
      </c>
      <c r="M7" s="43">
        <v>2</v>
      </c>
    </row>
    <row r="8" spans="1:13" ht="16.5" thickBot="1">
      <c r="A8" s="103"/>
      <c r="B8" s="44"/>
      <c r="C8" s="45"/>
      <c r="D8" s="105"/>
      <c r="E8" s="46"/>
      <c r="F8" s="47"/>
      <c r="G8" s="48"/>
      <c r="H8" s="107"/>
      <c r="I8" s="48"/>
      <c r="J8" s="47"/>
      <c r="K8" s="48"/>
      <c r="L8" s="105"/>
      <c r="M8" s="49"/>
    </row>
    <row r="9" spans="1:13" ht="6" customHeight="1" thickBot="1">
      <c r="A9" s="99" t="s">
        <v>508</v>
      </c>
      <c r="B9" s="15"/>
      <c r="C9" s="16"/>
      <c r="D9" s="17"/>
      <c r="E9" s="18"/>
      <c r="F9" s="19"/>
      <c r="G9" s="20"/>
      <c r="H9" s="21"/>
      <c r="I9" s="20"/>
      <c r="J9" s="19"/>
      <c r="K9" s="20"/>
      <c r="L9" s="17"/>
      <c r="M9" s="22"/>
    </row>
    <row r="10" spans="1:13" ht="13.5" customHeight="1" thickBot="1">
      <c r="A10" s="100"/>
      <c r="B10" s="23"/>
      <c r="C10" s="24"/>
      <c r="D10" s="117" t="s">
        <v>560</v>
      </c>
      <c r="E10" s="25"/>
      <c r="F10" s="23"/>
      <c r="G10" s="24"/>
      <c r="H10" s="117" t="s">
        <v>561</v>
      </c>
      <c r="J10" s="23"/>
      <c r="K10" s="24">
        <v>2</v>
      </c>
      <c r="L10" s="117" t="s">
        <v>562</v>
      </c>
      <c r="M10" s="25"/>
    </row>
    <row r="11" spans="1:13" ht="52.5" customHeight="1" thickBot="1">
      <c r="A11" s="101"/>
      <c r="B11" s="26"/>
      <c r="C11" s="27"/>
      <c r="D11" s="118"/>
      <c r="E11" s="28"/>
      <c r="F11" s="26"/>
      <c r="G11" s="27"/>
      <c r="H11" s="118"/>
      <c r="I11" s="27"/>
      <c r="J11" s="26"/>
      <c r="K11" s="27"/>
      <c r="L11" s="118"/>
      <c r="M11" s="28"/>
    </row>
    <row r="12" spans="1:13" ht="6" customHeight="1" thickBot="1">
      <c r="A12" s="99" t="s">
        <v>509</v>
      </c>
      <c r="B12" s="29"/>
      <c r="C12" s="30"/>
      <c r="D12" s="31"/>
      <c r="E12" s="32"/>
      <c r="F12" s="33"/>
      <c r="G12" s="34"/>
      <c r="H12" s="35"/>
      <c r="I12" s="32"/>
      <c r="J12" s="33"/>
      <c r="K12" s="34"/>
      <c r="L12" s="31"/>
      <c r="M12" s="25"/>
    </row>
    <row r="13" spans="1:13" ht="15.75" thickBot="1">
      <c r="A13" s="100"/>
      <c r="B13" s="23"/>
      <c r="C13" s="24"/>
      <c r="D13" s="117" t="s">
        <v>557</v>
      </c>
      <c r="E13" s="25"/>
      <c r="F13" s="23"/>
      <c r="G13" s="24"/>
      <c r="H13" s="117" t="s">
        <v>558</v>
      </c>
      <c r="I13" s="25"/>
      <c r="J13" s="23"/>
      <c r="K13" s="24">
        <v>2</v>
      </c>
      <c r="L13" s="117" t="s">
        <v>559</v>
      </c>
      <c r="M13" s="25"/>
    </row>
    <row r="14" spans="1:13" ht="45" customHeight="1" thickBot="1">
      <c r="A14" s="101"/>
      <c r="B14" s="23"/>
      <c r="D14" s="117"/>
      <c r="E14" s="25"/>
      <c r="F14" s="23"/>
      <c r="H14" s="117"/>
      <c r="I14" s="25"/>
      <c r="J14" s="23"/>
      <c r="L14" s="117"/>
      <c r="M14" s="25"/>
    </row>
    <row r="15" spans="1:13" ht="6" customHeight="1" thickBot="1">
      <c r="A15" s="99" t="s">
        <v>510</v>
      </c>
      <c r="B15" s="15"/>
      <c r="C15" s="16"/>
      <c r="D15" s="17"/>
      <c r="E15" s="18"/>
      <c r="F15" s="19"/>
      <c r="G15" s="20"/>
      <c r="H15" s="21"/>
      <c r="I15" s="18"/>
      <c r="J15" s="19"/>
      <c r="K15" s="20"/>
      <c r="L15" s="17"/>
      <c r="M15" s="22"/>
    </row>
    <row r="16" spans="1:13" ht="15.75" thickBot="1">
      <c r="A16" s="100"/>
      <c r="B16" s="23"/>
      <c r="C16" s="24"/>
      <c r="D16" s="117" t="s">
        <v>554</v>
      </c>
      <c r="E16" s="25"/>
      <c r="F16" s="23"/>
      <c r="G16" s="24"/>
      <c r="H16" s="117" t="s">
        <v>556</v>
      </c>
      <c r="I16" s="25"/>
      <c r="J16" s="23"/>
      <c r="K16" s="24">
        <v>2</v>
      </c>
      <c r="L16" s="117" t="s">
        <v>555</v>
      </c>
      <c r="M16" s="25"/>
    </row>
    <row r="17" spans="1:13" ht="81" customHeight="1" thickBot="1">
      <c r="A17" s="101"/>
      <c r="B17" s="26"/>
      <c r="C17" s="27"/>
      <c r="D17" s="118"/>
      <c r="E17" s="28"/>
      <c r="F17" s="26"/>
      <c r="G17" s="27"/>
      <c r="H17" s="118"/>
      <c r="I17" s="28"/>
      <c r="J17" s="26"/>
      <c r="K17" s="27"/>
      <c r="L17" s="118"/>
      <c r="M17" s="28"/>
    </row>
    <row r="18" spans="1:13" ht="6" customHeight="1" thickBot="1">
      <c r="A18" s="99" t="s">
        <v>516</v>
      </c>
      <c r="B18" s="15"/>
      <c r="C18" s="16"/>
      <c r="D18" s="17"/>
      <c r="E18" s="18"/>
      <c r="F18" s="19"/>
      <c r="G18" s="20"/>
      <c r="H18" s="21"/>
      <c r="I18" s="18"/>
      <c r="J18" s="19"/>
      <c r="K18" s="20"/>
      <c r="L18" s="17"/>
      <c r="M18" s="22"/>
    </row>
    <row r="19" spans="1:13" ht="15" customHeight="1" thickBot="1">
      <c r="A19" s="100"/>
      <c r="B19" s="23"/>
      <c r="C19" s="24"/>
      <c r="D19" s="117" t="s">
        <v>563</v>
      </c>
      <c r="E19" s="25"/>
      <c r="F19" s="23"/>
      <c r="G19" s="24">
        <v>1</v>
      </c>
      <c r="H19" s="117" t="s">
        <v>564</v>
      </c>
      <c r="I19" s="25"/>
      <c r="J19" s="23"/>
      <c r="K19" s="24"/>
      <c r="L19" s="117" t="s">
        <v>565</v>
      </c>
      <c r="M19" s="25"/>
    </row>
    <row r="20" spans="1:13" ht="49.5" customHeight="1" thickBot="1">
      <c r="A20" s="101"/>
      <c r="B20" s="26"/>
      <c r="C20" s="27"/>
      <c r="D20" s="118"/>
      <c r="E20" s="28"/>
      <c r="F20" s="26"/>
      <c r="G20" s="27"/>
      <c r="H20" s="118"/>
      <c r="I20" s="28"/>
      <c r="J20" s="26"/>
      <c r="K20" s="27"/>
      <c r="L20" s="118"/>
      <c r="M20" s="28"/>
    </row>
    <row r="21" spans="1:13" ht="6" customHeight="1" thickBot="1">
      <c r="A21" s="99" t="s">
        <v>511</v>
      </c>
      <c r="B21" s="15"/>
      <c r="C21" s="16"/>
      <c r="D21" s="17"/>
      <c r="E21" s="18"/>
      <c r="F21" s="19"/>
      <c r="G21" s="20"/>
      <c r="H21" s="21"/>
      <c r="I21" s="18"/>
      <c r="J21" s="19"/>
      <c r="K21" s="20"/>
      <c r="L21" s="17"/>
      <c r="M21" s="22"/>
    </row>
    <row r="22" spans="1:13" ht="15.75" thickBot="1">
      <c r="A22" s="100"/>
      <c r="B22" s="23"/>
      <c r="C22" s="24"/>
      <c r="D22" s="117" t="s">
        <v>566</v>
      </c>
      <c r="E22" s="25"/>
      <c r="F22" s="23"/>
      <c r="G22" s="24"/>
      <c r="H22" s="117" t="s">
        <v>567</v>
      </c>
      <c r="I22" s="25"/>
      <c r="J22" s="23"/>
      <c r="K22" s="24">
        <v>2</v>
      </c>
      <c r="L22" s="117" t="s">
        <v>568</v>
      </c>
      <c r="M22" s="25"/>
    </row>
    <row r="23" spans="1:13" ht="48" customHeight="1" thickBot="1">
      <c r="A23" s="101"/>
      <c r="B23" s="26"/>
      <c r="C23" s="27"/>
      <c r="D23" s="118"/>
      <c r="E23" s="28"/>
      <c r="F23" s="26"/>
      <c r="G23" s="27"/>
      <c r="H23" s="118"/>
      <c r="I23" s="28"/>
      <c r="J23" s="26"/>
      <c r="K23" s="27"/>
      <c r="L23" s="118"/>
      <c r="M23" s="28"/>
    </row>
    <row r="24" spans="1:13" ht="6" customHeight="1" thickBot="1">
      <c r="A24" s="99" t="s">
        <v>512</v>
      </c>
      <c r="B24" s="15"/>
      <c r="C24" s="16"/>
      <c r="D24" s="17"/>
      <c r="E24" s="18"/>
      <c r="F24" s="19"/>
      <c r="G24" s="20"/>
      <c r="H24" s="21"/>
      <c r="I24" s="18"/>
      <c r="J24" s="19"/>
      <c r="K24" s="20"/>
      <c r="L24" s="17"/>
      <c r="M24" s="22"/>
    </row>
    <row r="25" spans="1:13" ht="15.75" customHeight="1" thickBot="1">
      <c r="A25" s="100"/>
      <c r="B25" s="23"/>
      <c r="C25" s="24"/>
      <c r="D25" s="117" t="s">
        <v>569</v>
      </c>
      <c r="E25" s="25"/>
      <c r="F25" s="23"/>
      <c r="G25" s="24">
        <v>1</v>
      </c>
      <c r="H25" s="117" t="s">
        <v>570</v>
      </c>
      <c r="I25" s="25"/>
      <c r="J25" s="23"/>
      <c r="K25" s="24"/>
      <c r="L25" s="117" t="s">
        <v>573</v>
      </c>
      <c r="M25" s="25"/>
    </row>
    <row r="26" spans="1:13" ht="63.75" customHeight="1" thickBot="1">
      <c r="A26" s="101"/>
      <c r="B26" s="26"/>
      <c r="C26" s="27"/>
      <c r="D26" s="118"/>
      <c r="E26" s="28"/>
      <c r="F26" s="26"/>
      <c r="G26" s="27"/>
      <c r="H26" s="118"/>
      <c r="I26" s="28"/>
      <c r="J26" s="26"/>
      <c r="K26" s="27"/>
      <c r="L26" s="118"/>
      <c r="M26" s="28"/>
    </row>
    <row r="27" spans="1:13" ht="6" customHeight="1" thickBot="1">
      <c r="A27" s="99" t="s">
        <v>513</v>
      </c>
      <c r="B27" s="15"/>
      <c r="C27" s="16"/>
      <c r="D27" s="17"/>
      <c r="E27" s="18"/>
      <c r="F27" s="19"/>
      <c r="G27" s="20"/>
      <c r="H27" s="21"/>
      <c r="I27" s="18"/>
      <c r="J27" s="19"/>
      <c r="K27" s="20"/>
      <c r="L27" s="17"/>
      <c r="M27" s="22"/>
    </row>
    <row r="28" spans="1:13" ht="15" customHeight="1" thickBot="1">
      <c r="A28" s="100"/>
      <c r="B28" s="23"/>
      <c r="C28" s="24"/>
      <c r="D28" s="117" t="s">
        <v>571</v>
      </c>
      <c r="E28" s="25"/>
      <c r="F28" s="23"/>
      <c r="G28" s="24"/>
      <c r="H28" s="117" t="s">
        <v>572</v>
      </c>
      <c r="I28" s="25"/>
      <c r="J28" s="23"/>
      <c r="K28" s="24">
        <v>2</v>
      </c>
      <c r="L28" s="117" t="s">
        <v>574</v>
      </c>
      <c r="M28" s="25"/>
    </row>
    <row r="29" spans="1:13" ht="79.5" customHeight="1" thickBot="1">
      <c r="A29" s="101"/>
      <c r="B29" s="26"/>
      <c r="C29" s="27"/>
      <c r="D29" s="118"/>
      <c r="E29" s="28"/>
      <c r="F29" s="26"/>
      <c r="G29" s="27"/>
      <c r="H29" s="118"/>
      <c r="I29" s="28"/>
      <c r="J29" s="26"/>
      <c r="K29" s="27"/>
      <c r="L29" s="118"/>
      <c r="M29" s="28"/>
    </row>
    <row r="30" spans="1:13" ht="6" customHeight="1" thickBot="1">
      <c r="A30" s="99" t="s">
        <v>515</v>
      </c>
      <c r="B30" s="15"/>
      <c r="C30" s="16"/>
      <c r="D30" s="17"/>
      <c r="E30" s="18"/>
      <c r="F30" s="19"/>
      <c r="G30" s="20"/>
      <c r="H30" s="21"/>
      <c r="I30" s="18"/>
      <c r="J30" s="19"/>
      <c r="K30" s="20"/>
      <c r="L30" s="17"/>
      <c r="M30" s="25"/>
    </row>
    <row r="31" spans="1:13" ht="15" customHeight="1" thickBot="1">
      <c r="A31" s="100"/>
      <c r="B31" s="23"/>
      <c r="C31" s="24"/>
      <c r="D31" s="117" t="s">
        <v>552</v>
      </c>
      <c r="E31" s="25"/>
      <c r="F31" s="23"/>
      <c r="G31" s="24">
        <v>1</v>
      </c>
      <c r="H31" s="117" t="s">
        <v>553</v>
      </c>
      <c r="I31" s="25"/>
      <c r="J31" s="23"/>
      <c r="K31" s="24"/>
      <c r="L31" s="117" t="s">
        <v>551</v>
      </c>
      <c r="M31" s="25"/>
    </row>
    <row r="32" spans="1:13" ht="49.5" customHeight="1" thickBot="1">
      <c r="A32" s="101"/>
      <c r="B32" s="26"/>
      <c r="C32" s="27"/>
      <c r="D32" s="118"/>
      <c r="E32" s="28"/>
      <c r="F32" s="26"/>
      <c r="G32" s="27"/>
      <c r="H32" s="118"/>
      <c r="I32" s="28"/>
      <c r="J32" s="26"/>
      <c r="K32" s="27"/>
      <c r="L32" s="118"/>
      <c r="M32" s="25"/>
    </row>
    <row r="33" spans="1:13" ht="6" customHeight="1" thickBot="1">
      <c r="A33" s="99" t="s">
        <v>514</v>
      </c>
      <c r="B33" s="15"/>
      <c r="C33" s="16"/>
      <c r="D33" s="17"/>
      <c r="E33" s="18"/>
      <c r="F33" s="19"/>
      <c r="G33" s="20"/>
      <c r="H33" s="21"/>
      <c r="I33" s="18"/>
      <c r="J33" s="19"/>
      <c r="K33" s="20"/>
      <c r="L33" s="17"/>
      <c r="M33" s="22"/>
    </row>
    <row r="34" spans="1:13" ht="15" customHeight="1" thickBot="1">
      <c r="A34" s="100"/>
      <c r="B34" s="23"/>
      <c r="C34" s="24"/>
      <c r="D34" s="117" t="s">
        <v>575</v>
      </c>
      <c r="E34" s="25"/>
      <c r="F34" s="23"/>
      <c r="G34" s="24">
        <v>1</v>
      </c>
      <c r="H34" s="117" t="s">
        <v>576</v>
      </c>
      <c r="I34" s="25"/>
      <c r="J34" s="23"/>
      <c r="K34" s="24"/>
      <c r="L34" s="117" t="s">
        <v>577</v>
      </c>
      <c r="M34" s="25"/>
    </row>
    <row r="35" spans="1:13" ht="49.5" customHeight="1" thickBot="1">
      <c r="A35" s="101"/>
      <c r="B35" s="26"/>
      <c r="C35" s="27"/>
      <c r="D35" s="118"/>
      <c r="E35" s="28"/>
      <c r="F35" s="26"/>
      <c r="G35" s="27"/>
      <c r="H35" s="118"/>
      <c r="I35" s="28"/>
      <c r="J35" s="26"/>
      <c r="K35" s="27"/>
      <c r="L35" s="118"/>
      <c r="M35" s="28"/>
    </row>
    <row r="36" spans="1:13" ht="6" customHeight="1" thickBot="1">
      <c r="A36" s="99" t="s">
        <v>517</v>
      </c>
      <c r="B36" s="15"/>
      <c r="C36" s="16"/>
      <c r="D36" s="17"/>
      <c r="E36" s="18"/>
      <c r="F36" s="19"/>
      <c r="G36" s="20"/>
      <c r="H36" s="21"/>
      <c r="I36" s="18"/>
      <c r="J36" s="19"/>
      <c r="K36" s="20"/>
      <c r="L36" s="17"/>
      <c r="M36" s="22"/>
    </row>
    <row r="37" spans="1:13" ht="15" customHeight="1" thickBot="1">
      <c r="A37" s="100"/>
      <c r="B37" s="23"/>
      <c r="C37" s="24"/>
      <c r="D37" s="117" t="s">
        <v>578</v>
      </c>
      <c r="E37" s="25"/>
      <c r="F37" s="23"/>
      <c r="G37" s="24">
        <v>1</v>
      </c>
      <c r="H37" s="117" t="s">
        <v>700</v>
      </c>
      <c r="I37" s="25"/>
      <c r="J37" s="23"/>
      <c r="K37" s="24"/>
      <c r="L37" s="117" t="s">
        <v>579</v>
      </c>
      <c r="M37" s="25"/>
    </row>
    <row r="38" spans="1:13" ht="95.25" customHeight="1" thickBot="1">
      <c r="A38" s="101"/>
      <c r="B38" s="26"/>
      <c r="C38" s="27"/>
      <c r="D38" s="118"/>
      <c r="E38" s="28"/>
      <c r="F38" s="26"/>
      <c r="G38" s="27"/>
      <c r="H38" s="118"/>
      <c r="I38" s="28"/>
      <c r="J38" s="26"/>
      <c r="K38" s="27"/>
      <c r="L38" s="118"/>
      <c r="M38" s="28"/>
    </row>
    <row r="39" spans="1:13" ht="15.75" thickBot="1">
      <c r="D39" s="50"/>
      <c r="E39" s="51"/>
      <c r="F39" s="51"/>
      <c r="G39" s="51"/>
      <c r="H39" s="51"/>
      <c r="I39" s="52"/>
    </row>
    <row r="40" spans="1:13" ht="15.75" thickBot="1">
      <c r="D40" s="53" t="s">
        <v>678</v>
      </c>
      <c r="E40" s="59">
        <f>AVERAGE(C10,G10,K10,C13,G13,K13,C16,G16,K16,C19,G19,K19,C25,G25,K25,C28,G28,K28,C34,G34,K34,C37,G37,K37,C22,G22,K22,C31,G31,K31)</f>
        <v>1.5</v>
      </c>
      <c r="F40" s="54"/>
      <c r="G40" s="54"/>
      <c r="H40" s="54"/>
      <c r="I40" s="55"/>
    </row>
    <row r="41" spans="1:13" ht="15.75" thickBot="1">
      <c r="D41" s="56"/>
      <c r="E41" s="57"/>
      <c r="F41" s="57"/>
      <c r="G41" s="57"/>
      <c r="H41" s="57"/>
      <c r="I41" s="58"/>
    </row>
  </sheetData>
  <sheetProtection algorithmName="SHA-512" hashValue="LXTRU/jUEbREKuAvgKkOYl+NKsTweJLzj6lXPDDpVkvD1M2bNzWu46b39mk4Vf02yt7gu1IsPDk+wR0VRJDpFQ==" saltValue="csy0xqvQKYJllHUshEdKlw==" spinCount="100000" sheet="1" objects="1" scenarios="1" selectLockedCells="1"/>
  <mergeCells count="49">
    <mergeCell ref="A2:G2"/>
    <mergeCell ref="I2:L2"/>
    <mergeCell ref="A4:M4"/>
    <mergeCell ref="A5:M5"/>
    <mergeCell ref="A6:M6"/>
    <mergeCell ref="A7:A8"/>
    <mergeCell ref="D7:D8"/>
    <mergeCell ref="H7:H8"/>
    <mergeCell ref="L7:L8"/>
    <mergeCell ref="A9:A11"/>
    <mergeCell ref="D10:D11"/>
    <mergeCell ref="H10:H11"/>
    <mergeCell ref="L10:L11"/>
    <mergeCell ref="A12:A14"/>
    <mergeCell ref="D13:D14"/>
    <mergeCell ref="H13:H14"/>
    <mergeCell ref="L13:L14"/>
    <mergeCell ref="A15:A17"/>
    <mergeCell ref="D16:D17"/>
    <mergeCell ref="H16:H17"/>
    <mergeCell ref="L16:L17"/>
    <mergeCell ref="A18:A20"/>
    <mergeCell ref="D19:D20"/>
    <mergeCell ref="H19:H20"/>
    <mergeCell ref="L19:L20"/>
    <mergeCell ref="A21:A23"/>
    <mergeCell ref="D22:D23"/>
    <mergeCell ref="H22:H23"/>
    <mergeCell ref="L22:L23"/>
    <mergeCell ref="A30:A32"/>
    <mergeCell ref="D31:D32"/>
    <mergeCell ref="H31:H32"/>
    <mergeCell ref="L31:L32"/>
    <mergeCell ref="A24:A26"/>
    <mergeCell ref="D25:D26"/>
    <mergeCell ref="H25:H26"/>
    <mergeCell ref="L25:L26"/>
    <mergeCell ref="A27:A29"/>
    <mergeCell ref="D28:D29"/>
    <mergeCell ref="H28:H29"/>
    <mergeCell ref="L28:L29"/>
    <mergeCell ref="A36:A38"/>
    <mergeCell ref="D37:D38"/>
    <mergeCell ref="H37:H38"/>
    <mergeCell ref="L37:L38"/>
    <mergeCell ref="A33:A35"/>
    <mergeCell ref="D34:D35"/>
    <mergeCell ref="H34:H35"/>
    <mergeCell ref="L34:L35"/>
  </mergeCells>
  <conditionalFormatting sqref="C10">
    <cfRule type="colorScale" priority="37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13">
    <cfRule type="colorScale" priority="34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16">
    <cfRule type="colorScale" priority="31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19">
    <cfRule type="colorScale" priority="28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22">
    <cfRule type="colorScale" priority="25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25">
    <cfRule type="colorScale" priority="19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28">
    <cfRule type="colorScale" priority="16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31">
    <cfRule type="colorScale" priority="3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34">
    <cfRule type="colorScale" priority="13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37">
    <cfRule type="colorScale" priority="7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E40">
    <cfRule type="colorScale" priority="4">
      <colorScale>
        <cfvo type="num" val="0"/>
        <cfvo type="num" val="1"/>
        <cfvo type="num" val="2"/>
        <color rgb="FFC00000"/>
        <color theme="7"/>
        <color theme="9"/>
      </colorScale>
    </cfRule>
  </conditionalFormatting>
  <conditionalFormatting sqref="G10">
    <cfRule type="colorScale" priority="36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13">
    <cfRule type="colorScale" priority="33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16">
    <cfRule type="colorScale" priority="30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19">
    <cfRule type="colorScale" priority="27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22">
    <cfRule type="colorScale" priority="24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25">
    <cfRule type="colorScale" priority="18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28">
    <cfRule type="colorScale" priority="15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31">
    <cfRule type="colorScale" priority="2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34">
    <cfRule type="colorScale" priority="12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37">
    <cfRule type="colorScale" priority="6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10">
    <cfRule type="colorScale" priority="35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13">
    <cfRule type="colorScale" priority="32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16">
    <cfRule type="colorScale" priority="29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19">
    <cfRule type="colorScale" priority="26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22">
    <cfRule type="colorScale" priority="23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25">
    <cfRule type="colorScale" priority="17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28">
    <cfRule type="colorScale" priority="14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31">
    <cfRule type="colorScale" priority="1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34">
    <cfRule type="colorScale" priority="11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37">
    <cfRule type="colorScale" priority="5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41"/>
  <sheetViews>
    <sheetView topLeftCell="A34" workbookViewId="0">
      <selection activeCell="R35" sqref="R35"/>
    </sheetView>
  </sheetViews>
  <sheetFormatPr baseColWidth="10" defaultColWidth="9.140625" defaultRowHeight="15"/>
  <cols>
    <col min="1" max="1" width="20.140625" style="1" customWidth="1"/>
    <col min="2" max="2" width="1" style="1" customWidth="1"/>
    <col min="3" max="3" width="3.7109375" style="1" customWidth="1"/>
    <col min="4" max="4" width="30.7109375" style="1" customWidth="1"/>
    <col min="5" max="5" width="3.7109375" style="1" customWidth="1"/>
    <col min="6" max="6" width="1" style="1" customWidth="1"/>
    <col min="7" max="7" width="3.7109375" style="1" customWidth="1"/>
    <col min="8" max="8" width="30.7109375" style="1" customWidth="1"/>
    <col min="9" max="9" width="3.7109375" style="1" customWidth="1"/>
    <col min="10" max="10" width="1" style="1" customWidth="1"/>
    <col min="11" max="11" width="3.7109375" style="1" customWidth="1"/>
    <col min="12" max="12" width="30.7109375" style="1" customWidth="1"/>
    <col min="13" max="13" width="3.7109375" style="1" customWidth="1"/>
    <col min="14" max="16384" width="9.140625" style="1"/>
  </cols>
  <sheetData>
    <row r="2" spans="1:13">
      <c r="A2" s="181" t="s">
        <v>644</v>
      </c>
      <c r="B2" s="181"/>
      <c r="C2" s="181"/>
      <c r="D2" s="181"/>
      <c r="E2" s="181"/>
      <c r="F2" s="181"/>
      <c r="G2" s="181"/>
      <c r="H2" s="1" t="s">
        <v>704</v>
      </c>
      <c r="I2" s="182" t="s">
        <v>645</v>
      </c>
      <c r="J2" s="182"/>
      <c r="K2" s="182"/>
      <c r="L2" s="182"/>
    </row>
    <row r="3" spans="1:13" ht="15.75" thickBot="1"/>
    <row r="4" spans="1:13" ht="18.75">
      <c r="A4" s="166" t="s">
        <v>0</v>
      </c>
      <c r="B4" s="167"/>
      <c r="C4" s="167"/>
      <c r="D4" s="167"/>
      <c r="E4" s="167"/>
      <c r="F4" s="167"/>
      <c r="G4" s="167"/>
      <c r="H4" s="167"/>
      <c r="I4" s="167"/>
      <c r="J4" s="167"/>
      <c r="K4" s="167"/>
      <c r="L4" s="167"/>
      <c r="M4" s="168"/>
    </row>
    <row r="5" spans="1:13" ht="18.75">
      <c r="A5" s="169" t="s">
        <v>648</v>
      </c>
      <c r="B5" s="170"/>
      <c r="C5" s="170"/>
      <c r="D5" s="170"/>
      <c r="E5" s="170"/>
      <c r="F5" s="170"/>
      <c r="G5" s="170"/>
      <c r="H5" s="170"/>
      <c r="I5" s="170"/>
      <c r="J5" s="170"/>
      <c r="K5" s="170"/>
      <c r="L5" s="170"/>
      <c r="M5" s="171"/>
    </row>
    <row r="6" spans="1:13" ht="19.5" thickBot="1">
      <c r="A6" s="172" t="s">
        <v>649</v>
      </c>
      <c r="B6" s="173"/>
      <c r="C6" s="173"/>
      <c r="D6" s="173"/>
      <c r="E6" s="173"/>
      <c r="F6" s="173"/>
      <c r="G6" s="173"/>
      <c r="H6" s="173"/>
      <c r="I6" s="173"/>
      <c r="J6" s="173"/>
      <c r="K6" s="173"/>
      <c r="L6" s="173"/>
      <c r="M6" s="174"/>
    </row>
    <row r="7" spans="1:13" ht="12" customHeight="1" thickBot="1">
      <c r="A7" s="175" t="s">
        <v>3</v>
      </c>
      <c r="B7" s="2"/>
      <c r="C7" s="3"/>
      <c r="D7" s="177" t="s">
        <v>5</v>
      </c>
      <c r="E7" s="4">
        <v>0</v>
      </c>
      <c r="F7" s="5"/>
      <c r="G7" s="6"/>
      <c r="H7" s="179" t="s">
        <v>6</v>
      </c>
      <c r="I7" s="94">
        <v>1</v>
      </c>
      <c r="J7" s="5"/>
      <c r="K7" s="6"/>
      <c r="L7" s="177" t="s">
        <v>7</v>
      </c>
      <c r="M7" s="7">
        <v>2</v>
      </c>
    </row>
    <row r="8" spans="1:13" ht="16.5" thickBot="1">
      <c r="A8" s="176"/>
      <c r="B8" s="8"/>
      <c r="C8" s="9"/>
      <c r="D8" s="178"/>
      <c r="E8" s="10"/>
      <c r="F8" s="11"/>
      <c r="G8" s="12"/>
      <c r="H8" s="180"/>
      <c r="I8" s="12"/>
      <c r="J8" s="11"/>
      <c r="K8" s="12"/>
      <c r="L8" s="178"/>
      <c r="M8" s="13"/>
    </row>
    <row r="9" spans="1:13" ht="6" customHeight="1" thickBot="1">
      <c r="A9" s="99" t="s">
        <v>522</v>
      </c>
      <c r="B9" s="15"/>
      <c r="C9" s="16"/>
      <c r="D9" s="17"/>
      <c r="E9" s="18"/>
      <c r="F9" s="19"/>
      <c r="G9" s="20"/>
      <c r="H9" s="21"/>
      <c r="I9" s="20"/>
      <c r="J9" s="19"/>
      <c r="K9" s="20"/>
      <c r="L9" s="17"/>
      <c r="M9" s="22"/>
    </row>
    <row r="10" spans="1:13" ht="13.5" customHeight="1" thickBot="1">
      <c r="A10" s="100"/>
      <c r="B10" s="23"/>
      <c r="C10" s="24"/>
      <c r="D10" s="117" t="s">
        <v>622</v>
      </c>
      <c r="E10" s="25"/>
      <c r="F10" s="23"/>
      <c r="G10" s="24">
        <v>1</v>
      </c>
      <c r="H10" s="117" t="s">
        <v>652</v>
      </c>
      <c r="J10" s="23"/>
      <c r="K10" s="24"/>
      <c r="L10" s="117" t="s">
        <v>653</v>
      </c>
      <c r="M10" s="25"/>
    </row>
    <row r="11" spans="1:13" ht="66" customHeight="1" thickBot="1">
      <c r="A11" s="101"/>
      <c r="B11" s="26"/>
      <c r="C11" s="27"/>
      <c r="D11" s="118"/>
      <c r="E11" s="28"/>
      <c r="F11" s="26"/>
      <c r="G11" s="27"/>
      <c r="H11" s="118"/>
      <c r="I11" s="27"/>
      <c r="J11" s="26"/>
      <c r="K11" s="27"/>
      <c r="L11" s="118"/>
      <c r="M11" s="28"/>
    </row>
    <row r="12" spans="1:13" ht="6" customHeight="1" thickBot="1">
      <c r="A12" s="99" t="s">
        <v>523</v>
      </c>
      <c r="B12" s="29"/>
      <c r="C12" s="30"/>
      <c r="D12" s="31"/>
      <c r="E12" s="32"/>
      <c r="F12" s="33"/>
      <c r="G12" s="34"/>
      <c r="H12" s="35"/>
      <c r="I12" s="32"/>
      <c r="J12" s="33"/>
      <c r="K12" s="34"/>
      <c r="L12" s="31"/>
      <c r="M12" s="25"/>
    </row>
    <row r="13" spans="1:13" ht="15.75" thickBot="1">
      <c r="A13" s="100"/>
      <c r="B13" s="23"/>
      <c r="C13" s="24"/>
      <c r="D13" s="117" t="s">
        <v>623</v>
      </c>
      <c r="E13" s="25"/>
      <c r="F13" s="23"/>
      <c r="G13" s="24"/>
      <c r="H13" s="117" t="s">
        <v>650</v>
      </c>
      <c r="I13" s="25"/>
      <c r="J13" s="23"/>
      <c r="K13" s="24">
        <v>2</v>
      </c>
      <c r="L13" s="117" t="s">
        <v>651</v>
      </c>
      <c r="M13" s="25"/>
    </row>
    <row r="14" spans="1:13" ht="45" customHeight="1" thickBot="1">
      <c r="A14" s="101"/>
      <c r="B14" s="23"/>
      <c r="D14" s="117"/>
      <c r="E14" s="25"/>
      <c r="F14" s="23"/>
      <c r="H14" s="117"/>
      <c r="I14" s="25"/>
      <c r="J14" s="23"/>
      <c r="L14" s="117"/>
      <c r="M14" s="25"/>
    </row>
    <row r="15" spans="1:13" ht="6" customHeight="1" thickBot="1">
      <c r="A15" s="99" t="s">
        <v>524</v>
      </c>
      <c r="B15" s="15"/>
      <c r="C15" s="16"/>
      <c r="D15" s="17"/>
      <c r="E15" s="18"/>
      <c r="F15" s="19"/>
      <c r="G15" s="20"/>
      <c r="H15" s="21"/>
      <c r="I15" s="18"/>
      <c r="J15" s="19"/>
      <c r="K15" s="20"/>
      <c r="L15" s="17"/>
      <c r="M15" s="22"/>
    </row>
    <row r="16" spans="1:13" ht="15.75" thickBot="1">
      <c r="A16" s="100"/>
      <c r="B16" s="23"/>
      <c r="C16" s="24"/>
      <c r="D16" s="117" t="s">
        <v>646</v>
      </c>
      <c r="E16" s="25"/>
      <c r="F16" s="23"/>
      <c r="G16" s="24"/>
      <c r="H16" s="117" t="s">
        <v>627</v>
      </c>
      <c r="I16" s="25"/>
      <c r="J16" s="23"/>
      <c r="K16" s="24">
        <v>2</v>
      </c>
      <c r="L16" s="117" t="s">
        <v>647</v>
      </c>
      <c r="M16" s="25"/>
    </row>
    <row r="17" spans="1:13" ht="52.5" customHeight="1" thickBot="1">
      <c r="A17" s="101"/>
      <c r="B17" s="26"/>
      <c r="C17" s="27"/>
      <c r="D17" s="118"/>
      <c r="E17" s="28"/>
      <c r="F17" s="26"/>
      <c r="G17" s="27"/>
      <c r="H17" s="118"/>
      <c r="I17" s="28"/>
      <c r="J17" s="26"/>
      <c r="K17" s="27"/>
      <c r="L17" s="118"/>
      <c r="M17" s="28"/>
    </row>
    <row r="18" spans="1:13" ht="6" customHeight="1" thickBot="1">
      <c r="A18" s="99" t="s">
        <v>525</v>
      </c>
      <c r="B18" s="15"/>
      <c r="C18" s="16"/>
      <c r="D18" s="17"/>
      <c r="E18" s="18"/>
      <c r="F18" s="19"/>
      <c r="G18" s="20"/>
      <c r="H18" s="21"/>
      <c r="I18" s="18"/>
      <c r="J18" s="19"/>
      <c r="K18" s="20"/>
      <c r="L18" s="17"/>
      <c r="M18" s="22"/>
    </row>
    <row r="19" spans="1:13" ht="15" customHeight="1" thickBot="1">
      <c r="A19" s="100"/>
      <c r="B19" s="23"/>
      <c r="C19" s="24"/>
      <c r="D19" s="117" t="s">
        <v>624</v>
      </c>
      <c r="E19" s="25"/>
      <c r="F19" s="23"/>
      <c r="G19" s="24">
        <v>1</v>
      </c>
      <c r="H19" s="117" t="s">
        <v>634</v>
      </c>
      <c r="I19" s="25"/>
      <c r="J19" s="23"/>
      <c r="K19" s="24"/>
      <c r="L19" s="117" t="s">
        <v>635</v>
      </c>
      <c r="M19" s="25"/>
    </row>
    <row r="20" spans="1:13" ht="51" customHeight="1" thickBot="1">
      <c r="A20" s="101"/>
      <c r="B20" s="26"/>
      <c r="C20" s="27"/>
      <c r="D20" s="118"/>
      <c r="E20" s="28"/>
      <c r="F20" s="26"/>
      <c r="G20" s="27"/>
      <c r="H20" s="118"/>
      <c r="I20" s="28"/>
      <c r="J20" s="26"/>
      <c r="K20" s="27"/>
      <c r="L20" s="118"/>
      <c r="M20" s="28"/>
    </row>
    <row r="21" spans="1:13" ht="6" customHeight="1" thickBot="1">
      <c r="A21" s="99" t="s">
        <v>526</v>
      </c>
      <c r="B21" s="15"/>
      <c r="C21" s="16"/>
      <c r="D21" s="17"/>
      <c r="E21" s="18"/>
      <c r="F21" s="19"/>
      <c r="G21" s="20"/>
      <c r="H21" s="21"/>
      <c r="I21" s="18"/>
      <c r="J21" s="19"/>
      <c r="K21" s="20"/>
      <c r="L21" s="17"/>
      <c r="M21" s="22"/>
    </row>
    <row r="22" spans="1:13" ht="15.75" thickBot="1">
      <c r="A22" s="100"/>
      <c r="B22" s="23"/>
      <c r="C22" s="24"/>
      <c r="D22" s="117" t="s">
        <v>629</v>
      </c>
      <c r="E22" s="25"/>
      <c r="F22" s="23"/>
      <c r="G22" s="24">
        <v>1</v>
      </c>
      <c r="H22" s="117" t="s">
        <v>637</v>
      </c>
      <c r="I22" s="25"/>
      <c r="J22" s="23"/>
      <c r="K22" s="24"/>
      <c r="L22" s="117" t="s">
        <v>636</v>
      </c>
      <c r="M22" s="25"/>
    </row>
    <row r="23" spans="1:13" ht="63.75" customHeight="1" thickBot="1">
      <c r="A23" s="101"/>
      <c r="B23" s="26"/>
      <c r="C23" s="27"/>
      <c r="D23" s="118"/>
      <c r="E23" s="28"/>
      <c r="F23" s="26"/>
      <c r="G23" s="27"/>
      <c r="H23" s="118"/>
      <c r="I23" s="28"/>
      <c r="J23" s="26"/>
      <c r="K23" s="27"/>
      <c r="L23" s="118"/>
      <c r="M23" s="28"/>
    </row>
    <row r="24" spans="1:13" ht="6" customHeight="1" thickBot="1">
      <c r="A24" s="99" t="s">
        <v>527</v>
      </c>
      <c r="B24" s="15"/>
      <c r="C24" s="16"/>
      <c r="D24" s="17"/>
      <c r="E24" s="18"/>
      <c r="F24" s="19"/>
      <c r="G24" s="20"/>
      <c r="H24" s="21"/>
      <c r="I24" s="18"/>
      <c r="J24" s="19"/>
      <c r="K24" s="20"/>
      <c r="L24" s="17"/>
      <c r="M24" s="22"/>
    </row>
    <row r="25" spans="1:13" ht="15.75" customHeight="1" thickBot="1">
      <c r="A25" s="100"/>
      <c r="B25" s="23"/>
      <c r="C25" s="24"/>
      <c r="D25" s="117" t="s">
        <v>630</v>
      </c>
      <c r="E25" s="25"/>
      <c r="F25" s="23"/>
      <c r="G25" s="24">
        <v>1</v>
      </c>
      <c r="H25" s="117" t="s">
        <v>702</v>
      </c>
      <c r="I25" s="25"/>
      <c r="J25" s="23"/>
      <c r="K25" s="24"/>
      <c r="L25" s="117" t="s">
        <v>638</v>
      </c>
      <c r="M25" s="25"/>
    </row>
    <row r="26" spans="1:13" ht="78.75" customHeight="1" thickBot="1">
      <c r="A26" s="101"/>
      <c r="B26" s="26"/>
      <c r="C26" s="27"/>
      <c r="D26" s="118"/>
      <c r="E26" s="28"/>
      <c r="F26" s="26"/>
      <c r="G26" s="27"/>
      <c r="H26" s="118"/>
      <c r="I26" s="28"/>
      <c r="J26" s="26"/>
      <c r="K26" s="27"/>
      <c r="L26" s="118"/>
      <c r="M26" s="28"/>
    </row>
    <row r="27" spans="1:13" ht="6" customHeight="1" thickBot="1">
      <c r="A27" s="99" t="s">
        <v>528</v>
      </c>
      <c r="B27" s="15"/>
      <c r="C27" s="16"/>
      <c r="D27" s="17"/>
      <c r="E27" s="18"/>
      <c r="F27" s="19"/>
      <c r="G27" s="20"/>
      <c r="H27" s="21"/>
      <c r="I27" s="18"/>
      <c r="J27" s="19"/>
      <c r="K27" s="20"/>
      <c r="L27" s="17"/>
      <c r="M27" s="25"/>
    </row>
    <row r="28" spans="1:13" ht="15" customHeight="1" thickBot="1">
      <c r="A28" s="100"/>
      <c r="B28" s="23"/>
      <c r="C28" s="24"/>
      <c r="D28" s="117" t="s">
        <v>628</v>
      </c>
      <c r="E28" s="25"/>
      <c r="F28" s="23"/>
      <c r="G28" s="24">
        <v>1</v>
      </c>
      <c r="H28" s="117" t="s">
        <v>640</v>
      </c>
      <c r="I28" s="25"/>
      <c r="J28" s="23"/>
      <c r="K28" s="24"/>
      <c r="L28" s="117" t="s">
        <v>639</v>
      </c>
      <c r="M28" s="25"/>
    </row>
    <row r="29" spans="1:13" ht="114" customHeight="1" thickBot="1">
      <c r="A29" s="101"/>
      <c r="B29" s="26"/>
      <c r="C29" s="27"/>
      <c r="D29" s="118"/>
      <c r="E29" s="28"/>
      <c r="F29" s="26"/>
      <c r="G29" s="27"/>
      <c r="H29" s="118"/>
      <c r="I29" s="28"/>
      <c r="J29" s="26"/>
      <c r="K29" s="27"/>
      <c r="L29" s="118"/>
      <c r="M29" s="25"/>
    </row>
    <row r="30" spans="1:13" ht="6" customHeight="1" thickBot="1">
      <c r="A30" s="99" t="s">
        <v>529</v>
      </c>
      <c r="B30" s="15"/>
      <c r="C30" s="16"/>
      <c r="D30" s="17"/>
      <c r="E30" s="18"/>
      <c r="F30" s="19"/>
      <c r="G30" s="20"/>
      <c r="H30" s="21"/>
      <c r="I30" s="18"/>
      <c r="J30" s="19"/>
      <c r="K30" s="20"/>
      <c r="L30" s="17"/>
      <c r="M30" s="22"/>
    </row>
    <row r="31" spans="1:13" ht="15" customHeight="1" thickBot="1">
      <c r="A31" s="100"/>
      <c r="B31" s="23"/>
      <c r="C31" s="24"/>
      <c r="D31" s="117" t="s">
        <v>625</v>
      </c>
      <c r="E31" s="25"/>
      <c r="F31" s="23"/>
      <c r="G31" s="24">
        <v>1</v>
      </c>
      <c r="H31" s="117" t="s">
        <v>632</v>
      </c>
      <c r="I31" s="25"/>
      <c r="J31" s="23"/>
      <c r="K31" s="24"/>
      <c r="L31" s="117" t="s">
        <v>633</v>
      </c>
      <c r="M31" s="25"/>
    </row>
    <row r="32" spans="1:13" ht="70.5" customHeight="1" thickBot="1">
      <c r="A32" s="101"/>
      <c r="B32" s="26"/>
      <c r="C32" s="27"/>
      <c r="D32" s="118"/>
      <c r="E32" s="28"/>
      <c r="F32" s="26"/>
      <c r="G32" s="27"/>
      <c r="H32" s="118"/>
      <c r="I32" s="28"/>
      <c r="J32" s="26"/>
      <c r="K32" s="27"/>
      <c r="L32" s="118"/>
      <c r="M32" s="28"/>
    </row>
    <row r="33" spans="1:13" ht="6" customHeight="1" thickBot="1">
      <c r="A33" s="99" t="s">
        <v>530</v>
      </c>
      <c r="B33" s="15"/>
      <c r="C33" s="16"/>
      <c r="D33" s="17"/>
      <c r="E33" s="18"/>
      <c r="F33" s="19"/>
      <c r="G33" s="20"/>
      <c r="H33" s="21"/>
      <c r="I33" s="18"/>
      <c r="J33" s="19"/>
      <c r="K33" s="20"/>
      <c r="L33" s="17"/>
      <c r="M33" s="22"/>
    </row>
    <row r="34" spans="1:13" ht="15" customHeight="1" thickBot="1">
      <c r="A34" s="100"/>
      <c r="B34" s="23"/>
      <c r="C34" s="24"/>
      <c r="D34" s="117" t="s">
        <v>631</v>
      </c>
      <c r="E34" s="25"/>
      <c r="F34" s="23"/>
      <c r="G34" s="24">
        <v>1</v>
      </c>
      <c r="H34" s="117" t="s">
        <v>642</v>
      </c>
      <c r="I34" s="25"/>
      <c r="J34" s="23"/>
      <c r="K34" s="24"/>
      <c r="L34" s="117" t="s">
        <v>641</v>
      </c>
      <c r="M34" s="25"/>
    </row>
    <row r="35" spans="1:13" ht="96.75" customHeight="1" thickBot="1">
      <c r="A35" s="101"/>
      <c r="B35" s="26"/>
      <c r="C35" s="27"/>
      <c r="D35" s="118"/>
      <c r="E35" s="28"/>
      <c r="F35" s="26"/>
      <c r="G35" s="27"/>
      <c r="H35" s="118"/>
      <c r="I35" s="28"/>
      <c r="J35" s="26"/>
      <c r="K35" s="27"/>
      <c r="L35" s="118"/>
      <c r="M35" s="28"/>
    </row>
    <row r="36" spans="1:13" ht="6" customHeight="1" thickBot="1">
      <c r="A36" s="99" t="s">
        <v>531</v>
      </c>
      <c r="B36" s="15"/>
      <c r="C36" s="16"/>
      <c r="D36" s="17"/>
      <c r="E36" s="18"/>
      <c r="F36" s="19"/>
      <c r="G36" s="20"/>
      <c r="H36" s="21"/>
      <c r="I36" s="18"/>
      <c r="J36" s="19"/>
      <c r="K36" s="20"/>
      <c r="L36" s="17"/>
      <c r="M36" s="22"/>
    </row>
    <row r="37" spans="1:13" ht="15" customHeight="1" thickBot="1">
      <c r="A37" s="100"/>
      <c r="B37" s="23"/>
      <c r="C37" s="24"/>
      <c r="D37" s="117" t="s">
        <v>626</v>
      </c>
      <c r="E37" s="25"/>
      <c r="F37" s="23"/>
      <c r="G37" s="24">
        <v>1</v>
      </c>
      <c r="H37" s="117" t="s">
        <v>701</v>
      </c>
      <c r="I37" s="25"/>
      <c r="J37" s="23"/>
      <c r="K37" s="24"/>
      <c r="L37" s="117" t="s">
        <v>643</v>
      </c>
      <c r="M37" s="25"/>
    </row>
    <row r="38" spans="1:13" ht="137.25" customHeight="1" thickBot="1">
      <c r="A38" s="101"/>
      <c r="B38" s="26"/>
      <c r="C38" s="27"/>
      <c r="D38" s="118"/>
      <c r="E38" s="28"/>
      <c r="F38" s="26"/>
      <c r="G38" s="27"/>
      <c r="H38" s="118"/>
      <c r="I38" s="28"/>
      <c r="J38" s="26"/>
      <c r="K38" s="27"/>
      <c r="L38" s="118"/>
      <c r="M38" s="28"/>
    </row>
    <row r="39" spans="1:13" ht="15.75" thickBot="1">
      <c r="D39" s="50"/>
      <c r="E39" s="51"/>
      <c r="F39" s="51"/>
      <c r="G39" s="51"/>
      <c r="H39" s="51"/>
      <c r="I39" s="52"/>
    </row>
    <row r="40" spans="1:13" ht="15.75" thickBot="1">
      <c r="D40" s="53" t="s">
        <v>679</v>
      </c>
      <c r="E40" s="59">
        <f>AVERAGE(C10,G10,K10,C13,G13,K13,C16,G16,K16,C19,G19,K19,C25,G25,K25,C31,G31,K31,C34,G34,K34,C37,G37,K37,C22,G22,K22,C28,G28,K28)</f>
        <v>1.2</v>
      </c>
      <c r="F40" s="54"/>
      <c r="G40" s="54"/>
      <c r="H40" s="54"/>
      <c r="I40" s="55"/>
    </row>
    <row r="41" spans="1:13" ht="15.75" thickBot="1">
      <c r="D41" s="56"/>
      <c r="E41" s="57"/>
      <c r="F41" s="57"/>
      <c r="G41" s="57"/>
      <c r="H41" s="57"/>
      <c r="I41" s="58"/>
    </row>
  </sheetData>
  <sheetProtection algorithmName="SHA-512" hashValue="oshpNOSA/ucPrT1z2B9lHdVfEQzAU5sBoK4T6NeotLH9+hx88u/zr2I73JVEu4n4hlRArTw6C7yOX3JRNaLGZQ==" saltValue="7UyuBZpPn4UhzI4Tzsz6cw==" spinCount="100000" sheet="1" objects="1" scenarios="1" selectLockedCells="1"/>
  <mergeCells count="49">
    <mergeCell ref="A2:G2"/>
    <mergeCell ref="I2:L2"/>
    <mergeCell ref="A36:A38"/>
    <mergeCell ref="D37:D38"/>
    <mergeCell ref="H37:H38"/>
    <mergeCell ref="L37:L38"/>
    <mergeCell ref="A30:A32"/>
    <mergeCell ref="D31:D32"/>
    <mergeCell ref="H31:H32"/>
    <mergeCell ref="L31:L32"/>
    <mergeCell ref="A33:A35"/>
    <mergeCell ref="D34:D35"/>
    <mergeCell ref="H34:H35"/>
    <mergeCell ref="L34:L35"/>
    <mergeCell ref="A27:A29"/>
    <mergeCell ref="D28:D29"/>
    <mergeCell ref="H28:H29"/>
    <mergeCell ref="L28:L29"/>
    <mergeCell ref="A21:A23"/>
    <mergeCell ref="D22:D23"/>
    <mergeCell ref="H22:H23"/>
    <mergeCell ref="L22:L23"/>
    <mergeCell ref="A24:A26"/>
    <mergeCell ref="D25:D26"/>
    <mergeCell ref="H25:H26"/>
    <mergeCell ref="L25:L26"/>
    <mergeCell ref="A15:A17"/>
    <mergeCell ref="D16:D17"/>
    <mergeCell ref="H16:H17"/>
    <mergeCell ref="L16:L17"/>
    <mergeCell ref="A18:A20"/>
    <mergeCell ref="D19:D20"/>
    <mergeCell ref="H19:H20"/>
    <mergeCell ref="L19:L20"/>
    <mergeCell ref="A9:A11"/>
    <mergeCell ref="D10:D11"/>
    <mergeCell ref="H10:H11"/>
    <mergeCell ref="L10:L11"/>
    <mergeCell ref="A12:A14"/>
    <mergeCell ref="D13:D14"/>
    <mergeCell ref="H13:H14"/>
    <mergeCell ref="L13:L14"/>
    <mergeCell ref="A4:M4"/>
    <mergeCell ref="A5:M5"/>
    <mergeCell ref="A6:M6"/>
    <mergeCell ref="A7:A8"/>
    <mergeCell ref="D7:D8"/>
    <mergeCell ref="H7:H8"/>
    <mergeCell ref="L7:L8"/>
  </mergeCells>
  <conditionalFormatting sqref="C10">
    <cfRule type="colorScale" priority="34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13">
    <cfRule type="colorScale" priority="31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16">
    <cfRule type="colorScale" priority="28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19">
    <cfRule type="colorScale" priority="25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22">
    <cfRule type="colorScale" priority="22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25">
    <cfRule type="colorScale" priority="19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28">
    <cfRule type="colorScale" priority="3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31">
    <cfRule type="colorScale" priority="13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34">
    <cfRule type="colorScale" priority="10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C37">
    <cfRule type="colorScale" priority="7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E40">
    <cfRule type="colorScale" priority="4">
      <colorScale>
        <cfvo type="num" val="0"/>
        <cfvo type="num" val="1"/>
        <cfvo type="num" val="2"/>
        <color rgb="FFC00000"/>
        <color theme="7"/>
        <color theme="9"/>
      </colorScale>
    </cfRule>
  </conditionalFormatting>
  <conditionalFormatting sqref="G10">
    <cfRule type="colorScale" priority="33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13">
    <cfRule type="colorScale" priority="30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16">
    <cfRule type="colorScale" priority="27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19">
    <cfRule type="colorScale" priority="24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22">
    <cfRule type="colorScale" priority="21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25">
    <cfRule type="colorScale" priority="18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28">
    <cfRule type="colorScale" priority="2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31">
    <cfRule type="colorScale" priority="12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34">
    <cfRule type="colorScale" priority="9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G37">
    <cfRule type="colorScale" priority="6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10">
    <cfRule type="colorScale" priority="32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13">
    <cfRule type="colorScale" priority="29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16">
    <cfRule type="colorScale" priority="26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19">
    <cfRule type="colorScale" priority="23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22">
    <cfRule type="colorScale" priority="20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25">
    <cfRule type="colorScale" priority="17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28">
    <cfRule type="colorScale" priority="1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31">
    <cfRule type="colorScale" priority="11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34">
    <cfRule type="colorScale" priority="8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conditionalFormatting sqref="K37">
    <cfRule type="colorScale" priority="5">
      <colorScale>
        <cfvo type="num" val="0"/>
        <cfvo type="num" val="1"/>
        <cfvo type="num" val="2"/>
        <color rgb="FFC00000"/>
        <color rgb="FFFFC000"/>
        <color rgb="FF00B050"/>
      </colorScale>
    </cfRule>
  </conditionalFormatting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25"/>
  <sheetViews>
    <sheetView zoomScale="80" zoomScaleNormal="80" workbookViewId="0">
      <selection activeCell="L28" sqref="L28"/>
    </sheetView>
  </sheetViews>
  <sheetFormatPr baseColWidth="10" defaultColWidth="11.42578125" defaultRowHeight="15"/>
  <cols>
    <col min="1" max="1" width="2.85546875" style="65" customWidth="1"/>
    <col min="2" max="2" width="2.42578125" style="65" customWidth="1"/>
    <col min="3" max="3" width="52.7109375" style="65" customWidth="1"/>
    <col min="4" max="4" width="16.7109375" style="65" customWidth="1"/>
    <col min="5" max="5" width="11.42578125" style="65" customWidth="1"/>
    <col min="6" max="6" width="30.5703125" style="65" customWidth="1"/>
    <col min="7" max="8" width="11.42578125" style="65"/>
    <col min="9" max="9" width="18" style="65" customWidth="1"/>
    <col min="10" max="16384" width="11.42578125" style="65"/>
  </cols>
  <sheetData>
    <row r="2" spans="2:16">
      <c r="B2" s="119" t="s">
        <v>644</v>
      </c>
      <c r="C2" s="119"/>
      <c r="D2" s="119"/>
      <c r="E2" s="119"/>
      <c r="F2" s="119"/>
      <c r="G2" s="119"/>
      <c r="H2" s="119"/>
      <c r="J2" s="120" t="s">
        <v>645</v>
      </c>
      <c r="K2" s="120"/>
      <c r="L2" s="120"/>
      <c r="M2" s="120"/>
    </row>
    <row r="3" spans="2:16" ht="9" customHeight="1" thickBot="1"/>
    <row r="4" spans="2:16" ht="9" customHeight="1" thickBot="1">
      <c r="B4" s="66"/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8"/>
    </row>
    <row r="5" spans="2:16" ht="15.75" thickBot="1">
      <c r="B5" s="69"/>
      <c r="C5" s="196" t="s">
        <v>518</v>
      </c>
      <c r="D5" s="197"/>
      <c r="F5" s="198" t="s">
        <v>518</v>
      </c>
      <c r="G5" s="199"/>
      <c r="H5" s="199"/>
      <c r="I5" s="200"/>
      <c r="P5" s="70"/>
    </row>
    <row r="6" spans="2:16" ht="30.75" thickBot="1">
      <c r="B6" s="69"/>
      <c r="C6" s="71" t="s">
        <v>93</v>
      </c>
      <c r="D6" s="71" t="s">
        <v>94</v>
      </c>
      <c r="F6" s="72" t="s">
        <v>88</v>
      </c>
      <c r="G6" s="73" t="s">
        <v>500</v>
      </c>
      <c r="H6" s="73" t="s">
        <v>87</v>
      </c>
      <c r="I6" s="74" t="s">
        <v>84</v>
      </c>
      <c r="P6" s="70"/>
    </row>
    <row r="7" spans="2:16">
      <c r="B7" s="69"/>
      <c r="C7" s="75" t="s">
        <v>669</v>
      </c>
      <c r="D7" s="76">
        <f>AVERAGE(D8,D12)</f>
        <v>1.2386363636363638</v>
      </c>
      <c r="F7" s="192" t="s">
        <v>90</v>
      </c>
      <c r="G7" s="183">
        <v>0.4</v>
      </c>
      <c r="H7" s="186">
        <f>D7</f>
        <v>1.2386363636363638</v>
      </c>
      <c r="I7" s="189">
        <f>H7*G7</f>
        <v>0.49545454545454554</v>
      </c>
      <c r="P7" s="70"/>
    </row>
    <row r="8" spans="2:16">
      <c r="B8" s="69"/>
      <c r="C8" s="77" t="s">
        <v>95</v>
      </c>
      <c r="D8" s="78">
        <f>AVERAGE(D9:D12)</f>
        <v>0.87727272727272732</v>
      </c>
      <c r="F8" s="193"/>
      <c r="G8" s="184"/>
      <c r="H8" s="187"/>
      <c r="I8" s="190"/>
      <c r="P8" s="70"/>
    </row>
    <row r="9" spans="2:16">
      <c r="B9" s="69"/>
      <c r="C9" s="69" t="s">
        <v>654</v>
      </c>
      <c r="D9" s="79">
        <f>'RN- Zonas de Litoral'!E28</f>
        <v>0</v>
      </c>
      <c r="F9" s="201"/>
      <c r="G9" s="185"/>
      <c r="H9" s="188"/>
      <c r="I9" s="191"/>
      <c r="P9" s="70"/>
    </row>
    <row r="10" spans="2:16">
      <c r="B10" s="69"/>
      <c r="C10" s="69" t="s">
        <v>655</v>
      </c>
      <c r="D10" s="79">
        <f>'RN- Zonas de Montaña'!E43</f>
        <v>0.90909090909090906</v>
      </c>
      <c r="F10" s="202" t="s">
        <v>91</v>
      </c>
      <c r="G10" s="183">
        <v>0.2</v>
      </c>
      <c r="H10" s="186">
        <f>D17</f>
        <v>1.31</v>
      </c>
      <c r="I10" s="189">
        <f>H10*G10</f>
        <v>0.26200000000000001</v>
      </c>
      <c r="P10" s="70"/>
    </row>
    <row r="11" spans="2:16">
      <c r="B11" s="69"/>
      <c r="C11" s="69" t="s">
        <v>656</v>
      </c>
      <c r="D11" s="79">
        <f>'RN- Áreas Naturales Protegidas'!E43</f>
        <v>1</v>
      </c>
      <c r="F11" s="203"/>
      <c r="G11" s="184"/>
      <c r="H11" s="187"/>
      <c r="I11" s="190"/>
      <c r="P11" s="70"/>
    </row>
    <row r="12" spans="2:16">
      <c r="B12" s="69"/>
      <c r="C12" s="69" t="s">
        <v>657</v>
      </c>
      <c r="D12" s="79">
        <f>'RN- Cuerpos de Agua'!E25</f>
        <v>1.6</v>
      </c>
      <c r="F12" s="204"/>
      <c r="G12" s="185"/>
      <c r="H12" s="188"/>
      <c r="I12" s="191"/>
      <c r="P12" s="70"/>
    </row>
    <row r="13" spans="2:16">
      <c r="B13" s="69"/>
      <c r="C13" s="80" t="s">
        <v>96</v>
      </c>
      <c r="D13" s="78">
        <f>AVERAGE(D14:D16)</f>
        <v>1.5</v>
      </c>
      <c r="F13" s="202" t="s">
        <v>122</v>
      </c>
      <c r="G13" s="183">
        <v>0.2</v>
      </c>
      <c r="H13" s="186">
        <f>D23</f>
        <v>1.2972972972972974</v>
      </c>
      <c r="I13" s="189">
        <f>H13*G13</f>
        <v>0.25945945945945947</v>
      </c>
      <c r="P13" s="70"/>
    </row>
    <row r="14" spans="2:16">
      <c r="B14" s="69"/>
      <c r="C14" s="69" t="s">
        <v>658</v>
      </c>
      <c r="D14" s="79">
        <f>'RC- Artístico Monumental'!E31</f>
        <v>1.5</v>
      </c>
      <c r="F14" s="203"/>
      <c r="G14" s="184"/>
      <c r="H14" s="187"/>
      <c r="I14" s="190"/>
      <c r="P14" s="70"/>
    </row>
    <row r="15" spans="2:16">
      <c r="B15" s="69"/>
      <c r="C15" s="69" t="s">
        <v>659</v>
      </c>
      <c r="D15" s="79">
        <f>'RC- Nacionalidades y Pueblos'!E25</f>
        <v>1.4</v>
      </c>
      <c r="F15" s="204"/>
      <c r="G15" s="185"/>
      <c r="H15" s="188"/>
      <c r="I15" s="191"/>
      <c r="P15" s="70"/>
    </row>
    <row r="16" spans="2:16">
      <c r="B16" s="69"/>
      <c r="C16" s="69" t="s">
        <v>660</v>
      </c>
      <c r="D16" s="79">
        <f>'RC- Expresiones Contemporáneas'!E25</f>
        <v>1.6</v>
      </c>
      <c r="F16" s="192" t="s">
        <v>102</v>
      </c>
      <c r="G16" s="183">
        <v>0.2</v>
      </c>
      <c r="H16" s="186">
        <f>D24</f>
        <v>0.81818181818181823</v>
      </c>
      <c r="I16" s="189">
        <f>H16*G16</f>
        <v>0.16363636363636366</v>
      </c>
      <c r="P16" s="70"/>
    </row>
    <row r="17" spans="2:16">
      <c r="B17" s="69"/>
      <c r="C17" s="81" t="s">
        <v>668</v>
      </c>
      <c r="D17" s="82">
        <f>AVERAGE(D18:D22)</f>
        <v>1.31</v>
      </c>
      <c r="F17" s="193"/>
      <c r="G17" s="184"/>
      <c r="H17" s="187"/>
      <c r="I17" s="190"/>
      <c r="P17" s="70"/>
    </row>
    <row r="18" spans="2:16" ht="15.75" thickBot="1">
      <c r="B18" s="69"/>
      <c r="C18" s="69" t="s">
        <v>661</v>
      </c>
      <c r="D18" s="79">
        <f>'PT- Alojamiento'!E40</f>
        <v>1.5</v>
      </c>
      <c r="F18" s="193"/>
      <c r="G18" s="184"/>
      <c r="H18" s="187"/>
      <c r="I18" s="190"/>
      <c r="P18" s="70"/>
    </row>
    <row r="19" spans="2:16" ht="15.75" thickBot="1">
      <c r="B19" s="69"/>
      <c r="C19" s="69" t="s">
        <v>662</v>
      </c>
      <c r="D19" s="79">
        <f>'PT- Restauración'!E34</f>
        <v>1.5</v>
      </c>
      <c r="F19" s="194" t="s">
        <v>89</v>
      </c>
      <c r="G19" s="195"/>
      <c r="H19" s="195"/>
      <c r="I19" s="83">
        <f>SUM(I7:I18)</f>
        <v>1.1805503685503687</v>
      </c>
      <c r="P19" s="70"/>
    </row>
    <row r="20" spans="2:16">
      <c r="B20" s="69"/>
      <c r="C20" s="69" t="s">
        <v>663</v>
      </c>
      <c r="D20" s="79">
        <f>'PT- Intermediación'!E25</f>
        <v>1.8</v>
      </c>
      <c r="F20" s="84"/>
      <c r="G20" s="84"/>
      <c r="H20" s="84"/>
      <c r="I20" s="85"/>
      <c r="P20" s="70"/>
    </row>
    <row r="21" spans="2:16">
      <c r="B21" s="69"/>
      <c r="C21" s="69" t="s">
        <v>664</v>
      </c>
      <c r="D21" s="79">
        <f>'PT- Transportación Turística'!E28</f>
        <v>0.5</v>
      </c>
      <c r="P21" s="70"/>
    </row>
    <row r="22" spans="2:16">
      <c r="B22" s="69"/>
      <c r="C22" s="69" t="s">
        <v>665</v>
      </c>
      <c r="D22" s="79">
        <f>'PT- Interpretación Turística'!E22</f>
        <v>1.25</v>
      </c>
      <c r="P22" s="70"/>
    </row>
    <row r="23" spans="2:16">
      <c r="B23" s="69"/>
      <c r="C23" s="81" t="s">
        <v>666</v>
      </c>
      <c r="D23" s="82">
        <f>'TT- Productos Turísticos'!E121</f>
        <v>1.2972972972972974</v>
      </c>
      <c r="P23" s="70"/>
    </row>
    <row r="24" spans="2:16" ht="15.75" thickBot="1">
      <c r="B24" s="69"/>
      <c r="C24" s="86" t="s">
        <v>667</v>
      </c>
      <c r="D24" s="87">
        <f>'I- Infraestructura'!E43</f>
        <v>0.81818181818181823</v>
      </c>
      <c r="P24" s="70"/>
    </row>
    <row r="25" spans="2:16" ht="9" customHeight="1" thickBot="1">
      <c r="B25" s="88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90"/>
    </row>
  </sheetData>
  <sheetProtection algorithmName="SHA-512" hashValue="CJpFn1K3fM350h1HWXZgb4NhqocG4coVZ1gw50Ee8OBap8wxc3HY2ADr3jmbVQvEQK1vJ7Wrrb/grek9qmtasg==" saltValue="RdLOBAstLxrTBVoiR42riQ==" spinCount="100000" sheet="1" selectLockedCells="1" selectUnlockedCells="1"/>
  <mergeCells count="21">
    <mergeCell ref="B2:H2"/>
    <mergeCell ref="J2:M2"/>
    <mergeCell ref="F19:H19"/>
    <mergeCell ref="C5:D5"/>
    <mergeCell ref="F5:I5"/>
    <mergeCell ref="F7:F9"/>
    <mergeCell ref="G7:G9"/>
    <mergeCell ref="H7:H9"/>
    <mergeCell ref="I7:I9"/>
    <mergeCell ref="H16:H18"/>
    <mergeCell ref="I16:I18"/>
    <mergeCell ref="F10:F12"/>
    <mergeCell ref="G10:G12"/>
    <mergeCell ref="H10:H12"/>
    <mergeCell ref="I10:I12"/>
    <mergeCell ref="F13:F15"/>
    <mergeCell ref="G13:G15"/>
    <mergeCell ref="H13:H15"/>
    <mergeCell ref="I13:I15"/>
    <mergeCell ref="F16:F18"/>
    <mergeCell ref="G16:G18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26"/>
  <sheetViews>
    <sheetView topLeftCell="E1" zoomScaleNormal="100" workbookViewId="0">
      <selection activeCell="I23" sqref="I23"/>
    </sheetView>
  </sheetViews>
  <sheetFormatPr baseColWidth="10" defaultColWidth="11.42578125" defaultRowHeight="15"/>
  <cols>
    <col min="1" max="1" width="3" style="1" customWidth="1"/>
    <col min="2" max="2" width="2.85546875" style="1" customWidth="1"/>
    <col min="3" max="3" width="40.7109375" style="1" bestFit="1" customWidth="1"/>
    <col min="4" max="4" width="16.7109375" style="1" customWidth="1"/>
    <col min="5" max="5" width="11.42578125" style="1" customWidth="1"/>
    <col min="6" max="6" width="34.7109375" style="1" customWidth="1"/>
    <col min="7" max="8" width="11.42578125" style="1"/>
    <col min="9" max="9" width="18" style="1" customWidth="1"/>
    <col min="10" max="10" width="20.5703125" style="1" customWidth="1"/>
    <col min="11" max="13" width="11.42578125" style="1"/>
    <col min="14" max="14" width="18.7109375" style="1" customWidth="1"/>
    <col min="15" max="16384" width="11.42578125" style="1"/>
  </cols>
  <sheetData>
    <row r="2" spans="2:14">
      <c r="B2" s="181" t="s">
        <v>644</v>
      </c>
      <c r="C2" s="181"/>
      <c r="D2" s="181"/>
      <c r="E2" s="181"/>
      <c r="F2" s="181"/>
      <c r="G2" s="181"/>
      <c r="H2" s="181"/>
      <c r="J2" s="182" t="s">
        <v>645</v>
      </c>
      <c r="K2" s="182"/>
      <c r="L2" s="182"/>
      <c r="M2" s="182"/>
    </row>
    <row r="3" spans="2:14" ht="9" customHeight="1" thickBot="1"/>
    <row r="4" spans="2:14" ht="6.75" customHeight="1" thickBot="1">
      <c r="B4" s="60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22"/>
    </row>
    <row r="5" spans="2:14" ht="15.75" thickBot="1">
      <c r="B5" s="23"/>
      <c r="F5" s="224" t="s">
        <v>520</v>
      </c>
      <c r="G5" s="225"/>
      <c r="H5" s="225"/>
      <c r="I5" s="226"/>
      <c r="N5" s="25"/>
    </row>
    <row r="6" spans="2:14">
      <c r="B6" s="23"/>
      <c r="F6" s="227" t="s">
        <v>88</v>
      </c>
      <c r="G6" s="229" t="s">
        <v>86</v>
      </c>
      <c r="H6" s="229" t="s">
        <v>87</v>
      </c>
      <c r="I6" s="231" t="s">
        <v>85</v>
      </c>
      <c r="N6" s="25"/>
    </row>
    <row r="7" spans="2:14" ht="15.75" thickBot="1">
      <c r="B7" s="23"/>
      <c r="F7" s="228"/>
      <c r="G7" s="230"/>
      <c r="H7" s="230"/>
      <c r="I7" s="232"/>
      <c r="N7" s="25"/>
    </row>
    <row r="8" spans="2:14" ht="15.75" thickBot="1">
      <c r="B8" s="23"/>
      <c r="C8" s="216" t="s">
        <v>519</v>
      </c>
      <c r="D8" s="217"/>
      <c r="F8" s="212" t="s">
        <v>92</v>
      </c>
      <c r="G8" s="238">
        <v>0.4</v>
      </c>
      <c r="H8" s="239">
        <f>D10</f>
        <v>1.25</v>
      </c>
      <c r="I8" s="240">
        <f>H8*G8</f>
        <v>0.5</v>
      </c>
      <c r="N8" s="25"/>
    </row>
    <row r="9" spans="2:14" ht="15" customHeight="1">
      <c r="B9" s="23"/>
      <c r="C9" s="62" t="s">
        <v>93</v>
      </c>
      <c r="D9" s="63" t="s">
        <v>94</v>
      </c>
      <c r="F9" s="213"/>
      <c r="G9" s="234"/>
      <c r="H9" s="236"/>
      <c r="I9" s="205"/>
      <c r="N9" s="25"/>
    </row>
    <row r="10" spans="2:14">
      <c r="B10" s="23"/>
      <c r="C10" s="206" t="s">
        <v>680</v>
      </c>
      <c r="D10" s="208">
        <f>'DT- Afluencia Turística '!E25</f>
        <v>1.25</v>
      </c>
      <c r="F10" s="214"/>
      <c r="G10" s="235"/>
      <c r="H10" s="237"/>
      <c r="I10" s="233"/>
      <c r="N10" s="25"/>
    </row>
    <row r="11" spans="2:14">
      <c r="B11" s="23"/>
      <c r="C11" s="207"/>
      <c r="D11" s="209"/>
      <c r="F11" s="215" t="s">
        <v>683</v>
      </c>
      <c r="G11" s="234">
        <v>0.3</v>
      </c>
      <c r="H11" s="236">
        <f>D12</f>
        <v>1.5</v>
      </c>
      <c r="I11" s="205">
        <f>H11*G11</f>
        <v>0.44999999999999996</v>
      </c>
      <c r="N11" s="25"/>
    </row>
    <row r="12" spans="2:14">
      <c r="B12" s="23"/>
      <c r="C12" s="206" t="s">
        <v>681</v>
      </c>
      <c r="D12" s="208">
        <f>'DT- Marketing Turístico'!E40</f>
        <v>1.5</v>
      </c>
      <c r="F12" s="215"/>
      <c r="G12" s="234"/>
      <c r="H12" s="236"/>
      <c r="I12" s="205"/>
      <c r="N12" s="25"/>
    </row>
    <row r="13" spans="2:14">
      <c r="B13" s="23"/>
      <c r="C13" s="211"/>
      <c r="D13" s="210"/>
      <c r="F13" s="215"/>
      <c r="G13" s="235"/>
      <c r="H13" s="237"/>
      <c r="I13" s="233"/>
      <c r="N13" s="25"/>
    </row>
    <row r="14" spans="2:14">
      <c r="B14" s="23"/>
      <c r="C14" s="206" t="s">
        <v>682</v>
      </c>
      <c r="D14" s="208">
        <f>'ST- Superestructura del Turismo'!E40</f>
        <v>1.2</v>
      </c>
      <c r="F14" s="220" t="s">
        <v>521</v>
      </c>
      <c r="G14" s="234">
        <v>0.3</v>
      </c>
      <c r="H14" s="236">
        <f>D14</f>
        <v>1.2</v>
      </c>
      <c r="I14" s="205">
        <f>G14*H14</f>
        <v>0.36</v>
      </c>
      <c r="N14" s="25"/>
    </row>
    <row r="15" spans="2:14" ht="15.75" thickBot="1">
      <c r="B15" s="23"/>
      <c r="C15" s="218"/>
      <c r="D15" s="219"/>
      <c r="F15" s="215"/>
      <c r="G15" s="234"/>
      <c r="H15" s="236"/>
      <c r="I15" s="205"/>
      <c r="N15" s="25"/>
    </row>
    <row r="16" spans="2:14" ht="15.75" thickBot="1">
      <c r="B16" s="23"/>
      <c r="F16" s="215"/>
      <c r="G16" s="234"/>
      <c r="H16" s="236"/>
      <c r="I16" s="205"/>
      <c r="N16" s="25"/>
    </row>
    <row r="17" spans="2:14" ht="15.75" thickBot="1">
      <c r="B17" s="23"/>
      <c r="F17" s="221" t="s">
        <v>89</v>
      </c>
      <c r="G17" s="222"/>
      <c r="H17" s="223"/>
      <c r="I17" s="64">
        <f>SUM(I8:I16)</f>
        <v>1.31</v>
      </c>
      <c r="N17" s="25"/>
    </row>
    <row r="18" spans="2:14" ht="10.5" customHeight="1">
      <c r="B18" s="23"/>
      <c r="N18" s="25"/>
    </row>
    <row r="19" spans="2:14">
      <c r="B19" s="23"/>
      <c r="N19" s="25"/>
    </row>
    <row r="20" spans="2:14">
      <c r="B20" s="23"/>
      <c r="N20" s="25"/>
    </row>
    <row r="21" spans="2:14">
      <c r="B21" s="23"/>
      <c r="N21" s="25"/>
    </row>
    <row r="22" spans="2:14">
      <c r="B22" s="23"/>
      <c r="N22" s="25"/>
    </row>
    <row r="23" spans="2:14">
      <c r="B23" s="23"/>
      <c r="N23" s="25"/>
    </row>
    <row r="24" spans="2:14">
      <c r="B24" s="23"/>
      <c r="N24" s="25"/>
    </row>
    <row r="25" spans="2:14">
      <c r="B25" s="23"/>
      <c r="N25" s="25"/>
    </row>
    <row r="26" spans="2:14" ht="15.75" thickBot="1">
      <c r="B26" s="26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8"/>
    </row>
  </sheetData>
  <sheetProtection algorithmName="SHA-512" hashValue="MUQt/KH+7Ni3FF+9GCv/CMXrN+M9TA34JsRB1GVdceewMKeWpY7+QlW9UAjgUS5hGyxdYXMNqaBafB/VrG+owA==" saltValue="IRMSQcB676OvujDBDo/w1A==" spinCount="100000" sheet="1" objects="1" scenarios="1" selectLockedCells="1" selectUnlockedCells="1"/>
  <mergeCells count="27">
    <mergeCell ref="B2:H2"/>
    <mergeCell ref="J2:M2"/>
    <mergeCell ref="F17:H17"/>
    <mergeCell ref="F5:I5"/>
    <mergeCell ref="F6:F7"/>
    <mergeCell ref="G6:G7"/>
    <mergeCell ref="H6:H7"/>
    <mergeCell ref="I6:I7"/>
    <mergeCell ref="I11:I13"/>
    <mergeCell ref="G11:G13"/>
    <mergeCell ref="H11:H13"/>
    <mergeCell ref="G8:G10"/>
    <mergeCell ref="H8:H10"/>
    <mergeCell ref="I8:I10"/>
    <mergeCell ref="G14:G16"/>
    <mergeCell ref="H14:H16"/>
    <mergeCell ref="I14:I16"/>
    <mergeCell ref="C10:C11"/>
    <mergeCell ref="D10:D11"/>
    <mergeCell ref="D12:D13"/>
    <mergeCell ref="C12:C13"/>
    <mergeCell ref="F8:F10"/>
    <mergeCell ref="F11:F13"/>
    <mergeCell ref="C8:D8"/>
    <mergeCell ref="C14:C15"/>
    <mergeCell ref="D14:D15"/>
    <mergeCell ref="F14:F16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tabSelected="1" workbookViewId="0">
      <selection activeCell="J11" sqref="J11"/>
    </sheetView>
  </sheetViews>
  <sheetFormatPr baseColWidth="10" defaultColWidth="11.42578125" defaultRowHeight="15"/>
  <cols>
    <col min="1" max="9" width="11.42578125" style="1"/>
    <col min="10" max="10" width="21.5703125" style="1" customWidth="1"/>
    <col min="11" max="16384" width="11.42578125" style="1"/>
  </cols>
  <sheetData>
    <row r="1" spans="1:11" ht="30.75" customHeight="1">
      <c r="A1" s="1" t="s">
        <v>705</v>
      </c>
    </row>
    <row r="2" spans="1:11" ht="13.5" customHeight="1">
      <c r="A2" s="119" t="s">
        <v>644</v>
      </c>
      <c r="B2" s="119"/>
      <c r="C2" s="119"/>
      <c r="D2" s="119"/>
      <c r="E2" s="119"/>
      <c r="F2" s="119"/>
      <c r="G2" s="119"/>
      <c r="H2" s="120" t="s">
        <v>645</v>
      </c>
      <c r="I2" s="120"/>
      <c r="J2" s="120"/>
      <c r="K2" s="36"/>
    </row>
    <row r="3" spans="1:11" ht="28.5" customHeight="1">
      <c r="A3" s="241" t="s">
        <v>72</v>
      </c>
      <c r="B3" s="241"/>
      <c r="C3" s="241"/>
    </row>
    <row r="4" spans="1:11">
      <c r="A4" s="241"/>
      <c r="B4" s="241"/>
      <c r="C4" s="241"/>
      <c r="D4" s="34"/>
    </row>
    <row r="5" spans="1:11" ht="30">
      <c r="A5" s="91" t="s">
        <v>73</v>
      </c>
      <c r="B5" s="92" t="s">
        <v>532</v>
      </c>
      <c r="C5" s="92" t="s">
        <v>533</v>
      </c>
    </row>
    <row r="6" spans="1:11">
      <c r="A6" s="1" t="s">
        <v>74</v>
      </c>
      <c r="B6" s="93">
        <f>'Análisis Componentes FN'!I19</f>
        <v>1.1805503685503687</v>
      </c>
      <c r="C6" s="93" cm="1">
        <f t="array" ref="C6">'Análisis Componentes FX'!I17:I17</f>
        <v>1.31</v>
      </c>
    </row>
    <row r="7" spans="1:11">
      <c r="A7" s="1" t="s">
        <v>75</v>
      </c>
    </row>
    <row r="8" spans="1:11">
      <c r="A8" s="1" t="s">
        <v>76</v>
      </c>
    </row>
    <row r="9" spans="1:11">
      <c r="A9" s="1" t="s">
        <v>77</v>
      </c>
    </row>
    <row r="10" spans="1:11">
      <c r="A10" s="1" t="s">
        <v>78</v>
      </c>
    </row>
    <row r="11" spans="1:11">
      <c r="A11" s="1" t="s">
        <v>79</v>
      </c>
    </row>
    <row r="12" spans="1:11">
      <c r="A12" s="1" t="s">
        <v>80</v>
      </c>
    </row>
    <row r="13" spans="1:11">
      <c r="A13" s="1" t="s">
        <v>81</v>
      </c>
    </row>
    <row r="14" spans="1:11">
      <c r="A14" s="1" t="s">
        <v>82</v>
      </c>
    </row>
    <row r="15" spans="1:11">
      <c r="A15" s="1" t="s">
        <v>83</v>
      </c>
    </row>
  </sheetData>
  <sheetProtection algorithmName="SHA-512" hashValue="5o+fgE0njBVwt5DJslMgFruO/320bWZAOw+mgQWSg1myWfSXNw/omrC9GL8dmVOhHRsAJ+7FpapDVqh8Yumqdg==" saltValue="aRDbeB5/K580EvrdFZQ9IQ==" spinCount="100000" sheet="1" objects="1" scenarios="1" formatRows="0" insertRows="0" deleteRows="0"/>
  <mergeCells count="3">
    <mergeCell ref="A3:C4"/>
    <mergeCell ref="A2:G2"/>
    <mergeCell ref="H2:J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AEC25D-8C62-4DAC-BFCE-AF1C6A718D1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RN- Zonas de Litoral</vt:lpstr>
      <vt:lpstr>RN- Zonas de Montaña</vt:lpstr>
      <vt:lpstr>RN- Áreas Naturales Protegidas</vt:lpstr>
      <vt:lpstr>RN- Cuerpos de Agua</vt:lpstr>
      <vt:lpstr>RC- Artístico Monumental</vt:lpstr>
      <vt:lpstr>RC- Nacionalidades y Pueblos</vt:lpstr>
      <vt:lpstr>RC- Expresiones Contemporáneas</vt:lpstr>
      <vt:lpstr>PT- Alojamiento</vt:lpstr>
      <vt:lpstr>PT- Restauración</vt:lpstr>
      <vt:lpstr>PT- Intermediación</vt:lpstr>
      <vt:lpstr>PT- Transportación Turística</vt:lpstr>
      <vt:lpstr>PT- Interpretación Turística</vt:lpstr>
      <vt:lpstr>TT- Productos Turísticos</vt:lpstr>
      <vt:lpstr>I- Infraestructura</vt:lpstr>
      <vt:lpstr>DT- Afluencia Turística </vt:lpstr>
      <vt:lpstr>DT- Marketing Turístico</vt:lpstr>
      <vt:lpstr>ST- Superestructura del Turismo</vt:lpstr>
      <vt:lpstr>Análisis Componentes FN</vt:lpstr>
      <vt:lpstr>Análisis Componentes FX</vt:lpstr>
      <vt:lpstr>Gráfica Resultante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</dc:creator>
  <cp:lastModifiedBy>users</cp:lastModifiedBy>
  <dcterms:created xsi:type="dcterms:W3CDTF">2020-06-15T19:52:17Z</dcterms:created>
  <dcterms:modified xsi:type="dcterms:W3CDTF">2025-03-16T23:06:43Z</dcterms:modified>
</cp:coreProperties>
</file>